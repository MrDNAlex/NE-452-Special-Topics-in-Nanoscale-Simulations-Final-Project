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lecule Legend" sheetId="1" r:id="rId5"/>
    <sheet state="visible" name="Bond Lengths" sheetId="2" r:id="rId6"/>
    <sheet state="visible" name="Bond Angles" sheetId="3" r:id="rId7"/>
    <sheet state="visible" name="GeoOpt Enthalpies" sheetId="4" r:id="rId8"/>
    <sheet state="visible" name="Atom Counts" sheetId="5" r:id="rId9"/>
    <sheet state="visible" name="Experimental Corrections" sheetId="6" r:id="rId10"/>
    <sheet state="visible" name="Atom Enthalpies" sheetId="7" r:id="rId11"/>
    <sheet state="visible" name="Master Enthalpy" sheetId="8" r:id="rId12"/>
    <sheet state="visible" name="Literature Enthalpy" sheetId="9" r:id="rId13"/>
    <sheet state="visible" name="MAE" sheetId="10" r:id="rId14"/>
    <sheet state="visible" name="cost" sheetId="11" r:id="rId15"/>
    <sheet state="visible" name="Summed Timings" sheetId="12" r:id="rId16"/>
    <sheet state="visible" name="# computations" sheetId="13" r:id="rId17"/>
    <sheet state="visible" name="Unit conversion stuff" sheetId="14" r:id="rId18"/>
  </sheets>
  <definedNames/>
  <calcPr/>
</workbook>
</file>

<file path=xl/sharedStrings.xml><?xml version="1.0" encoding="utf-8"?>
<sst xmlns="http://schemas.openxmlformats.org/spreadsheetml/2006/main" count="2470" uniqueCount="286">
  <si>
    <t>Order</t>
  </si>
  <si>
    <t>Molecule</t>
  </si>
  <si>
    <t>Methane</t>
  </si>
  <si>
    <t>Lengths in Angstrom</t>
  </si>
  <si>
    <t>Ethane</t>
  </si>
  <si>
    <t>Angles in degrees</t>
  </si>
  <si>
    <t>Propane</t>
  </si>
  <si>
    <t>Butane</t>
  </si>
  <si>
    <t>Pentane</t>
  </si>
  <si>
    <t>Hexane</t>
  </si>
  <si>
    <t>Heptane</t>
  </si>
  <si>
    <t>Octane</t>
  </si>
  <si>
    <t>Nonane</t>
  </si>
  <si>
    <t>Aspirin</t>
  </si>
  <si>
    <t>Azobenzene</t>
  </si>
  <si>
    <t>Caffeine</t>
  </si>
  <si>
    <t>Ethanol</t>
  </si>
  <si>
    <t>Pyrrole</t>
  </si>
  <si>
    <t>Acetaminophen</t>
  </si>
  <si>
    <t>Diclofenac</t>
  </si>
  <si>
    <t>Ibuprofen</t>
  </si>
  <si>
    <t>Hydrocortisone</t>
  </si>
  <si>
    <t>Dexamethasone</t>
  </si>
  <si>
    <t>Prednisone</t>
  </si>
  <si>
    <t>Lit 1</t>
  </si>
  <si>
    <t>Length 1</t>
  </si>
  <si>
    <t>Opt 1</t>
  </si>
  <si>
    <t>Lit 2</t>
  </si>
  <si>
    <t>Length 2</t>
  </si>
  <si>
    <t>Opt 2</t>
  </si>
  <si>
    <t>Lit 3</t>
  </si>
  <si>
    <t>Length 3</t>
  </si>
  <si>
    <t>Opt 3</t>
  </si>
  <si>
    <t>Lit 4</t>
  </si>
  <si>
    <t>Length 4</t>
  </si>
  <si>
    <t>Opt 4</t>
  </si>
  <si>
    <t>Lit 5</t>
  </si>
  <si>
    <t>Length 5</t>
  </si>
  <si>
    <t>Opt 5</t>
  </si>
  <si>
    <t>Lit 6</t>
  </si>
  <si>
    <t>Length 6</t>
  </si>
  <si>
    <t>Opt 6</t>
  </si>
  <si>
    <t>Lit 7</t>
  </si>
  <si>
    <t>Length 7</t>
  </si>
  <si>
    <t>Opt 7</t>
  </si>
  <si>
    <t>Lit 8</t>
  </si>
  <si>
    <t>Length 8</t>
  </si>
  <si>
    <t>Opt 8</t>
  </si>
  <si>
    <t>Lit 9</t>
  </si>
  <si>
    <t>Length 9</t>
  </si>
  <si>
    <t>Opt 9</t>
  </si>
  <si>
    <t>Lit 10</t>
  </si>
  <si>
    <t>Length 10</t>
  </si>
  <si>
    <t>Opt 10</t>
  </si>
  <si>
    <t>Lit 11</t>
  </si>
  <si>
    <t>Length 11</t>
  </si>
  <si>
    <t>Opt 11</t>
  </si>
  <si>
    <t>Lit 12</t>
  </si>
  <si>
    <t>Length 12</t>
  </si>
  <si>
    <t>Opt 12</t>
  </si>
  <si>
    <t>Lit 13</t>
  </si>
  <si>
    <t>Length 13</t>
  </si>
  <si>
    <t>Opt 13</t>
  </si>
  <si>
    <t>Lit 14</t>
  </si>
  <si>
    <t>Length 14</t>
  </si>
  <si>
    <t>Opt 14</t>
  </si>
  <si>
    <t>Lit 15</t>
  </si>
  <si>
    <t>Length 15</t>
  </si>
  <si>
    <t>Opt 15</t>
  </si>
  <si>
    <t>Lit 16</t>
  </si>
  <si>
    <t>Length 16</t>
  </si>
  <si>
    <t>Opt 16</t>
  </si>
  <si>
    <t>Lit 17</t>
  </si>
  <si>
    <t>Length 17</t>
  </si>
  <si>
    <t>Opt 17</t>
  </si>
  <si>
    <t>Lit 18</t>
  </si>
  <si>
    <t>Length 18</t>
  </si>
  <si>
    <t>Opt 18</t>
  </si>
  <si>
    <t>Lit 19</t>
  </si>
  <si>
    <t>Length 19</t>
  </si>
  <si>
    <t>Opt 19</t>
  </si>
  <si>
    <t>Lit 20</t>
  </si>
  <si>
    <t>Length 20</t>
  </si>
  <si>
    <t>Opt 20</t>
  </si>
  <si>
    <t>CH</t>
  </si>
  <si>
    <t>CC</t>
  </si>
  <si>
    <t>OC</t>
  </si>
  <si>
    <t>NN</t>
  </si>
  <si>
    <t>NC</t>
  </si>
  <si>
    <t>ClC</t>
  </si>
  <si>
    <t>FC</t>
  </si>
  <si>
    <t>OH</t>
  </si>
  <si>
    <t>CO</t>
  </si>
  <si>
    <t>NH</t>
  </si>
  <si>
    <t>CN</t>
  </si>
  <si>
    <t>HC</t>
  </si>
  <si>
    <t>HO</t>
  </si>
  <si>
    <t>HN</t>
  </si>
  <si>
    <t>CF</t>
  </si>
  <si>
    <t>CCl</t>
  </si>
  <si>
    <t>Angle 1</t>
  </si>
  <si>
    <t>Angle 2</t>
  </si>
  <si>
    <t>Angle 3</t>
  </si>
  <si>
    <t>Angle 4</t>
  </si>
  <si>
    <t>Angle 5</t>
  </si>
  <si>
    <t>Angle 6</t>
  </si>
  <si>
    <t>Angle 7</t>
  </si>
  <si>
    <t>Angle 8</t>
  </si>
  <si>
    <t>Angle 9</t>
  </si>
  <si>
    <t>Angle 10</t>
  </si>
  <si>
    <t>Angle 11</t>
  </si>
  <si>
    <t>Angle 12</t>
  </si>
  <si>
    <t>Angle 13</t>
  </si>
  <si>
    <t>Angle 14</t>
  </si>
  <si>
    <t>Angle 15</t>
  </si>
  <si>
    <t>Angle 16</t>
  </si>
  <si>
    <t>Angle 17</t>
  </si>
  <si>
    <t>Angle 18</t>
  </si>
  <si>
    <t>Angle 19</t>
  </si>
  <si>
    <t>Angle 20</t>
  </si>
  <si>
    <t>HCH</t>
  </si>
  <si>
    <t>CCH</t>
  </si>
  <si>
    <t>CCC</t>
  </si>
  <si>
    <t>COC</t>
  </si>
  <si>
    <t>NNC</t>
  </si>
  <si>
    <t>CNC</t>
  </si>
  <si>
    <t>COH</t>
  </si>
  <si>
    <t>OCC</t>
  </si>
  <si>
    <t>CNH</t>
  </si>
  <si>
    <t>NCC</t>
  </si>
  <si>
    <t>OCH</t>
  </si>
  <si>
    <t>NCH</t>
  </si>
  <si>
    <t>NCN</t>
  </si>
  <si>
    <t>OCN</t>
  </si>
  <si>
    <t>OCO</t>
  </si>
  <si>
    <t>FCC</t>
  </si>
  <si>
    <t>ClCC</t>
  </si>
  <si>
    <t>Molecule Name</t>
  </si>
  <si>
    <t>LDA Enthalpy</t>
  </si>
  <si>
    <t>PBE Enthalpy</t>
  </si>
  <si>
    <t>B3LYP Enthalpy</t>
  </si>
  <si>
    <t>wB97x-D3 Enthalpy</t>
  </si>
  <si>
    <t>M06-2X Enthalpy</t>
  </si>
  <si>
    <t>Hydrogen Count</t>
  </si>
  <si>
    <t>Carbon Count</t>
  </si>
  <si>
    <t>Nitrogen Count</t>
  </si>
  <si>
    <t>Oxygen Count</t>
  </si>
  <si>
    <t>Fluorine Count</t>
  </si>
  <si>
    <t>Chlorine Count</t>
  </si>
  <si>
    <t>Atom Name</t>
  </si>
  <si>
    <t>Experimental Enthalpy Correction (Eh)</t>
  </si>
  <si>
    <t>Experimental Enthalpy Correction (Kj/mol)</t>
  </si>
  <si>
    <t>Source</t>
  </si>
  <si>
    <t>Hydrogen</t>
  </si>
  <si>
    <t>https://janaf.nist.gov/tables/H-001.html</t>
  </si>
  <si>
    <t>Carbon</t>
  </si>
  <si>
    <t>https://janaf.nist.gov/tables/C-003.html</t>
  </si>
  <si>
    <t>Nitrogen</t>
  </si>
  <si>
    <t>https://janaf.nist.gov/tables/N-002.html</t>
  </si>
  <si>
    <t>Oxygen</t>
  </si>
  <si>
    <t>https://janaf.nist.gov/tables/O-001.html</t>
  </si>
  <si>
    <t>Fluorine</t>
  </si>
  <si>
    <t>https://janaf.nist.gov/tables/F-001.html</t>
  </si>
  <si>
    <t>Chlorine</t>
  </si>
  <si>
    <t>https://janaf.nist.gov/tables/Cl-001.html</t>
  </si>
  <si>
    <t>LDA Energy</t>
  </si>
  <si>
    <t>PBE Energy</t>
  </si>
  <si>
    <t>B3LYP Energy</t>
  </si>
  <si>
    <t>wB97x-D3 Energy</t>
  </si>
  <si>
    <t>M06-2X Energy</t>
  </si>
  <si>
    <t>Experimental Enthalpy Correction</t>
  </si>
  <si>
    <t>Thermal Correction</t>
  </si>
  <si>
    <t>B97X Enthalpy</t>
  </si>
  <si>
    <t>M062X Enthalpy</t>
  </si>
  <si>
    <t>Final Atom LDA Enthalpy</t>
  </si>
  <si>
    <t>Final Atom PBE Enthalpy</t>
  </si>
  <si>
    <t>Final Atom B3LYP Enthalpy</t>
  </si>
  <si>
    <t>Final Atom B97X Enthalpy</t>
  </si>
  <si>
    <t>Final Atom M062X Enthalpy</t>
  </si>
  <si>
    <t>Hydrogen Enthalpy Correction</t>
  </si>
  <si>
    <t>Final Hydrogen LDA Enthalpy</t>
  </si>
  <si>
    <t>Final Hydrogen PBE Enthalpy</t>
  </si>
  <si>
    <t>Final Hydrogen B3LYP Enthalpy</t>
  </si>
  <si>
    <t>Final Hydrogen B97X Enthalpy</t>
  </si>
  <si>
    <t>Final Hydrogen M062X Enthalpy</t>
  </si>
  <si>
    <t>Carbon Enthalpy Correction</t>
  </si>
  <si>
    <t>Final Carbon LDA Enthalpy</t>
  </si>
  <si>
    <t>Final Carbon PBE Enthalpy</t>
  </si>
  <si>
    <t>Final Carbon B3LYP Enthalpy</t>
  </si>
  <si>
    <t>Final Carbon B97X Enthalpy</t>
  </si>
  <si>
    <t>Final Carbon M062X Enthalpy</t>
  </si>
  <si>
    <t>Nitrogen Enthalpy Correction</t>
  </si>
  <si>
    <t>Final Nitrogen LDA Enthalpy</t>
  </si>
  <si>
    <t>Final Nitrogen PBE Enthalpy</t>
  </si>
  <si>
    <t>Final Nitrogen B3LYP Enthalpy</t>
  </si>
  <si>
    <t>Final Nitrogen B97X Enthalpy</t>
  </si>
  <si>
    <t>Final Nitrogen M062X Enthalpy</t>
  </si>
  <si>
    <t>Oxygen Enthalpy Correction</t>
  </si>
  <si>
    <t>Final Oxygen LDA Enthalpy</t>
  </si>
  <si>
    <t>Final Oxygen PBE Enthalpy</t>
  </si>
  <si>
    <t>Final Oxygen B3LYP Enthalpy</t>
  </si>
  <si>
    <t>Final Oxygen B97X Enthalpy</t>
  </si>
  <si>
    <t>Final Oxygen M062X Enthalpy</t>
  </si>
  <si>
    <t>Fluorine Enthalpy Correction</t>
  </si>
  <si>
    <t>Final Fluorine LDA Enthalpy</t>
  </si>
  <si>
    <t>Final Fluorine PBE Enthalpy</t>
  </si>
  <si>
    <t>Final Fluorine B3LYP Enthalpy</t>
  </si>
  <si>
    <t>Final Fluorine B97X Enthalpy</t>
  </si>
  <si>
    <t>Final Fluorine M062X Enthalpy</t>
  </si>
  <si>
    <t>Chlorine Enthalpy Correction</t>
  </si>
  <si>
    <t>Final Chlorine LDA Enthalpy</t>
  </si>
  <si>
    <t>Final Chlorine PBE Enthalpy</t>
  </si>
  <si>
    <t>Final Chlorine B3LYP Enthalpy</t>
  </si>
  <si>
    <t>Final Chlorine B97X Enthalpy</t>
  </si>
  <si>
    <t>Final Chlorine M062X Enthalpy</t>
  </si>
  <si>
    <t>LDA Enthalpy of Formation</t>
  </si>
  <si>
    <t>PBE Enthalpy of Formation</t>
  </si>
  <si>
    <t>B3LYP Enthalpy of Formation</t>
  </si>
  <si>
    <t>B97X Enthalpy of Formation</t>
  </si>
  <si>
    <t>M062X Enthalpy of Formation</t>
  </si>
  <si>
    <t>Lit Enthalpy (kJ/mol)</t>
  </si>
  <si>
    <t>Lit Enthalpy (Eh)</t>
  </si>
  <si>
    <t>LDA Enthalpy (Hartree)</t>
  </si>
  <si>
    <t>PBE Enthalpy (Hartree)</t>
  </si>
  <si>
    <t>B3LYP Enthalpy (Hartree)</t>
  </si>
  <si>
    <t>wB97x-D Enthalpy (Hartree)</t>
  </si>
  <si>
    <t>M06-2X Enthalpy (Hartree)</t>
  </si>
  <si>
    <t>LDA enthaply (kJ/mol)</t>
  </si>
  <si>
    <t>PBE Enthalpy (kJ/mol)</t>
  </si>
  <si>
    <t>B3LYP Enthalpy (kJ/mol)</t>
  </si>
  <si>
    <t>wB97x-D Enthalpy (kJ/mol)</t>
  </si>
  <si>
    <t>M06-2X Enthalpy (kJ/mol)</t>
  </si>
  <si>
    <t>LDA MAE</t>
  </si>
  <si>
    <t>PBE MAE</t>
  </si>
  <si>
    <t>B3LYP MAE</t>
  </si>
  <si>
    <t>wB97x-D MAE</t>
  </si>
  <si>
    <t>M06-2X MAE</t>
  </si>
  <si>
    <t>*** Does not include lit stdev values</t>
  </si>
  <si>
    <t>LDA Time (s)</t>
  </si>
  <si>
    <t>PBE Time</t>
  </si>
  <si>
    <t>B3LYP TIme</t>
  </si>
  <si>
    <t>wB97x-D3 Time</t>
  </si>
  <si>
    <t>M06-2X Time</t>
  </si>
  <si>
    <t>PBE Time (s)</t>
  </si>
  <si>
    <t>B3LYP Time (s)</t>
  </si>
  <si>
    <t>wB97x-D3 Time (s)</t>
  </si>
  <si>
    <t>M06-2X Time (s)</t>
  </si>
  <si>
    <t>LDA (s)</t>
  </si>
  <si>
    <t>PBE (s)</t>
  </si>
  <si>
    <t>B3LYP (s)</t>
  </si>
  <si>
    <t>wB97X-D3 (s)</t>
  </si>
  <si>
    <t>M06-2X (s)</t>
  </si>
  <si>
    <t>Index</t>
  </si>
  <si>
    <t>Name of Molecule</t>
  </si>
  <si>
    <t>Have XYZ File</t>
  </si>
  <si>
    <t>Enthalpy Literature Value</t>
  </si>
  <si>
    <t>Current</t>
  </si>
  <si>
    <t>Units</t>
  </si>
  <si>
    <t>Adjusted</t>
  </si>
  <si>
    <t>X</t>
  </si>
  <si>
    <t>-17.90 +- 0.1 kcal/mol</t>
  </si>
  <si>
    <t>kcal/mol</t>
  </si>
  <si>
    <t>kJ/mol</t>
  </si>
  <si>
    <t>-20.08 +- 0.04 kcal/mol</t>
  </si>
  <si>
    <t>-25.00 +- 0.1 kcal/mol</t>
  </si>
  <si>
    <t>-30.00 +- 0.2 kcal/mol</t>
  </si>
  <si>
    <t>-35.11 +- 0.2 kcal/mol</t>
  </si>
  <si>
    <t>-39.94 +- 0.2 kcal/mol</t>
  </si>
  <si>
    <t>-44.86 +- 0.3 kcal/mol</t>
  </si>
  <si>
    <t>-49.86 +- 0.3 kcal/mol</t>
  </si>
  <si>
    <t>-54.54 +- 0.2 kcal/mol</t>
  </si>
  <si>
    <t>(322.15 ± 4.80) kJ/mol</t>
  </si>
  <si>
    <t>-340.6+-2.3 kJ/mol (Phase 1)
-345.1 +- 2.3 kJ/mol (Phase 2)</t>
  </si>
  <si>
    <t>-276 +-2 kJ/mol</t>
  </si>
  <si>
    <t>22.53 kJ/mol at 341.1K</t>
  </si>
  <si>
    <t>31.01kJ/mol at 412.7K</t>
  </si>
  <si>
    <t>Pyrolle</t>
  </si>
  <si>
    <t>25.9 kcal/mol (Enthalpy formation)</t>
  </si>
  <si>
    <t>27.6 +- 1.1 kJ/mol</t>
  </si>
  <si>
    <t>25 kJ/mol</t>
  </si>
  <si>
    <t>18.7 +-0.1 kJ/mol at 322.2K</t>
  </si>
  <si>
    <t>33900 +- 339 J/mol</t>
  </si>
  <si>
    <t>J/mol</t>
  </si>
  <si>
    <t>105.55 J/g</t>
  </si>
  <si>
    <t>J/g</t>
  </si>
  <si>
    <t>42.04 kJ/mol at 539K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</si>
</sst>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&quot;Aptos Narrow&quot;"/>
    </font>
    <font>
      <color theme="1"/>
      <name val="&quot;Times New Roman&quot;"/>
    </font>
    <font>
      <u/>
      <color rgb="FF0000FF"/>
      <name val="&quot;Times New Roman&quot;"/>
    </font>
    <font>
      <sz val="12.0"/>
      <color rgb="FF000000"/>
      <name val="&quot;Times New Roman&quot;"/>
    </font>
    <font>
      <u/>
      <color rgb="FF0000FF"/>
    </font>
    <font>
      <color rgb="FF000000"/>
      <name val="Arial"/>
    </font>
    <font>
      <sz val="11.0"/>
      <color rgb="FF000000"/>
      <name val="'Times New Roman'"/>
    </font>
    <font>
      <sz val="14.0"/>
      <color rgb="FF2021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ont="1">
      <alignment readingOrder="0"/>
    </xf>
    <xf borderId="0" fillId="5" fontId="1" numFmtId="0" xfId="0" applyAlignment="1" applyFill="1" applyFont="1">
      <alignment horizontal="center" readingOrder="0"/>
    </xf>
    <xf borderId="0" fillId="5" fontId="1" numFmtId="0" xfId="0" applyAlignment="1" applyFont="1">
      <alignment readingOrder="0"/>
    </xf>
    <xf borderId="0" fillId="0" fontId="1" numFmtId="164" xfId="0" applyFont="1" applyNumberFormat="1"/>
    <xf borderId="0" fillId="6" fontId="1" numFmtId="0" xfId="0" applyAlignment="1" applyFill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'# computations'!$B$1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'# computations'!$A$2:$A$21</c:f>
            </c:strRef>
          </c:cat>
          <c:val>
            <c:numRef>
              <c:f>'# computations'!$B$2:$B$21</c:f>
              <c:numCache/>
            </c:numRef>
          </c:val>
        </c:ser>
        <c:ser>
          <c:idx val="1"/>
          <c:order val="1"/>
          <c:tx>
            <c:strRef>
              <c:f>'# computations'!$C$1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'# computations'!$A$2:$A$21</c:f>
            </c:strRef>
          </c:cat>
          <c:val>
            <c:numRef>
              <c:f>'# computations'!$C$2:$C$21</c:f>
              <c:numCache/>
            </c:numRef>
          </c:val>
        </c:ser>
        <c:ser>
          <c:idx val="2"/>
          <c:order val="2"/>
          <c:tx>
            <c:strRef>
              <c:f>'# computations'!$D$1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'# computations'!$A$2:$A$21</c:f>
            </c:strRef>
          </c:cat>
          <c:val>
            <c:numRef>
              <c:f>'# computations'!$D$2:$D$21</c:f>
              <c:numCache/>
            </c:numRef>
          </c:val>
        </c:ser>
        <c:ser>
          <c:idx val="3"/>
          <c:order val="3"/>
          <c:tx>
            <c:strRef>
              <c:f>'# computations'!$E$1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'# computations'!$A$2:$A$21</c:f>
            </c:strRef>
          </c:cat>
          <c:val>
            <c:numRef>
              <c:f>'# computations'!$E$2:$E$21</c:f>
              <c:numCache/>
            </c:numRef>
          </c:val>
        </c:ser>
        <c:ser>
          <c:idx val="4"/>
          <c:order val="4"/>
          <c:tx>
            <c:strRef>
              <c:f>'# computations'!$F$1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'# computations'!$A$2:$A$21</c:f>
            </c:strRef>
          </c:cat>
          <c:val>
            <c:numRef>
              <c:f>'# computations'!$F$2:$F$21</c:f>
              <c:numCache/>
            </c:numRef>
          </c:val>
        </c:ser>
        <c:axId val="589722670"/>
        <c:axId val="1783568185"/>
      </c:barChart>
      <c:catAx>
        <c:axId val="589722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568185"/>
      </c:catAx>
      <c:valAx>
        <c:axId val="1783568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9722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0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janaf.nist.gov/tables/H-001.html" TargetMode="External"/><Relationship Id="rId2" Type="http://schemas.openxmlformats.org/officeDocument/2006/relationships/hyperlink" Target="https://janaf.nist.gov/tables/C-003.html" TargetMode="External"/><Relationship Id="rId3" Type="http://schemas.openxmlformats.org/officeDocument/2006/relationships/hyperlink" Target="https://janaf.nist.gov/tables/N-002.html" TargetMode="External"/><Relationship Id="rId4" Type="http://schemas.openxmlformats.org/officeDocument/2006/relationships/hyperlink" Target="https://janaf.nist.gov/tables/O-001.html" TargetMode="External"/><Relationship Id="rId5" Type="http://schemas.openxmlformats.org/officeDocument/2006/relationships/hyperlink" Target="https://janaf.nist.gov/tables/F-001.html" TargetMode="External"/><Relationship Id="rId6" Type="http://schemas.openxmlformats.org/officeDocument/2006/relationships/hyperlink" Target="https://janaf.nist.gov/tables/Cl-001.html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  <c r="D2" s="1" t="s">
        <v>3</v>
      </c>
    </row>
    <row r="3">
      <c r="A3" s="1">
        <v>2.0</v>
      </c>
      <c r="B3" s="1" t="s">
        <v>4</v>
      </c>
      <c r="D3" s="1" t="s">
        <v>5</v>
      </c>
    </row>
    <row r="4">
      <c r="A4" s="1">
        <v>3.0</v>
      </c>
      <c r="B4" s="1" t="s">
        <v>6</v>
      </c>
    </row>
    <row r="5">
      <c r="A5" s="1">
        <v>4.0</v>
      </c>
      <c r="B5" s="1" t="s">
        <v>7</v>
      </c>
    </row>
    <row r="6">
      <c r="A6" s="1">
        <v>5.0</v>
      </c>
      <c r="B6" s="1" t="s">
        <v>8</v>
      </c>
    </row>
    <row r="7">
      <c r="A7" s="1">
        <v>6.0</v>
      </c>
      <c r="B7" s="1" t="s">
        <v>9</v>
      </c>
    </row>
    <row r="8">
      <c r="A8" s="1">
        <v>7.0</v>
      </c>
      <c r="B8" s="1" t="s">
        <v>10</v>
      </c>
    </row>
    <row r="9">
      <c r="A9" s="1">
        <v>8.0</v>
      </c>
      <c r="B9" s="1" t="s">
        <v>11</v>
      </c>
    </row>
    <row r="10">
      <c r="A10" s="1">
        <v>9.0</v>
      </c>
      <c r="B10" s="1" t="s">
        <v>12</v>
      </c>
    </row>
    <row r="11">
      <c r="A11" s="1">
        <v>10.0</v>
      </c>
      <c r="B11" s="1" t="s">
        <v>13</v>
      </c>
    </row>
    <row r="12">
      <c r="A12" s="1">
        <v>11.0</v>
      </c>
      <c r="B12" s="1" t="s">
        <v>14</v>
      </c>
    </row>
    <row r="13">
      <c r="A13" s="1">
        <v>12.0</v>
      </c>
      <c r="B13" s="1" t="s">
        <v>15</v>
      </c>
    </row>
    <row r="14">
      <c r="A14" s="1">
        <v>13.0</v>
      </c>
      <c r="B14" s="1" t="s">
        <v>16</v>
      </c>
    </row>
    <row r="15">
      <c r="A15" s="1">
        <v>14.0</v>
      </c>
      <c r="B15" s="1" t="s">
        <v>17</v>
      </c>
    </row>
    <row r="16">
      <c r="A16" s="1">
        <v>15.0</v>
      </c>
      <c r="B16" s="1" t="s">
        <v>18</v>
      </c>
    </row>
    <row r="17">
      <c r="A17" s="1">
        <v>16.0</v>
      </c>
      <c r="B17" s="1" t="s">
        <v>19</v>
      </c>
    </row>
    <row r="18">
      <c r="A18" s="1">
        <v>17.0</v>
      </c>
      <c r="B18" s="1" t="s">
        <v>20</v>
      </c>
    </row>
    <row r="19">
      <c r="A19" s="1">
        <v>18.0</v>
      </c>
      <c r="B19" s="1" t="s">
        <v>21</v>
      </c>
    </row>
    <row r="20">
      <c r="A20" s="1">
        <v>19.0</v>
      </c>
      <c r="B20" s="1" t="s">
        <v>22</v>
      </c>
    </row>
    <row r="21">
      <c r="A21" s="1">
        <v>20.0</v>
      </c>
      <c r="B21" s="1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</v>
      </c>
      <c r="B1" s="3" t="s">
        <v>25</v>
      </c>
      <c r="C1" s="3" t="s">
        <v>26</v>
      </c>
      <c r="D1" s="3" t="s">
        <v>25</v>
      </c>
      <c r="E1" s="2" t="s">
        <v>27</v>
      </c>
      <c r="F1" s="3" t="s">
        <v>28</v>
      </c>
      <c r="G1" s="3" t="s">
        <v>29</v>
      </c>
      <c r="H1" s="3" t="s">
        <v>28</v>
      </c>
      <c r="I1" s="2" t="s">
        <v>30</v>
      </c>
      <c r="J1" s="3" t="s">
        <v>31</v>
      </c>
      <c r="K1" s="3" t="s">
        <v>32</v>
      </c>
      <c r="L1" s="3" t="s">
        <v>31</v>
      </c>
      <c r="M1" s="2" t="s">
        <v>33</v>
      </c>
      <c r="N1" s="3" t="s">
        <v>34</v>
      </c>
      <c r="O1" s="3" t="s">
        <v>35</v>
      </c>
      <c r="P1" s="3" t="s">
        <v>34</v>
      </c>
      <c r="Q1" s="3" t="s">
        <v>36</v>
      </c>
      <c r="R1" s="3" t="s">
        <v>37</v>
      </c>
      <c r="S1" s="3" t="s">
        <v>38</v>
      </c>
      <c r="T1" s="3" t="s">
        <v>37</v>
      </c>
      <c r="U1" s="3" t="s">
        <v>39</v>
      </c>
      <c r="V1" s="3" t="s">
        <v>40</v>
      </c>
      <c r="W1" s="3" t="s">
        <v>41</v>
      </c>
      <c r="X1" s="3" t="s">
        <v>40</v>
      </c>
      <c r="Y1" s="3" t="s">
        <v>42</v>
      </c>
      <c r="Z1" s="3" t="s">
        <v>43</v>
      </c>
      <c r="AA1" s="3" t="s">
        <v>44</v>
      </c>
      <c r="AB1" s="3" t="s">
        <v>43</v>
      </c>
      <c r="AC1" s="3" t="s">
        <v>45</v>
      </c>
      <c r="AD1" s="3" t="s">
        <v>46</v>
      </c>
      <c r="AE1" s="3" t="s">
        <v>47</v>
      </c>
      <c r="AF1" s="3" t="s">
        <v>46</v>
      </c>
      <c r="AG1" s="3" t="s">
        <v>48</v>
      </c>
      <c r="AH1" s="3" t="s">
        <v>49</v>
      </c>
      <c r="AI1" s="3" t="s">
        <v>50</v>
      </c>
      <c r="AJ1" s="3" t="s">
        <v>49</v>
      </c>
      <c r="AK1" s="3" t="s">
        <v>51</v>
      </c>
      <c r="AL1" s="3" t="s">
        <v>52</v>
      </c>
      <c r="AM1" s="3" t="s">
        <v>53</v>
      </c>
      <c r="AN1" s="3" t="s">
        <v>52</v>
      </c>
      <c r="AO1" s="3" t="s">
        <v>54</v>
      </c>
      <c r="AP1" s="3" t="s">
        <v>55</v>
      </c>
      <c r="AQ1" s="3" t="s">
        <v>56</v>
      </c>
      <c r="AR1" s="3" t="s">
        <v>55</v>
      </c>
      <c r="AS1" s="3" t="s">
        <v>57</v>
      </c>
      <c r="AT1" s="3" t="s">
        <v>58</v>
      </c>
      <c r="AU1" s="3" t="s">
        <v>59</v>
      </c>
      <c r="AV1" s="3" t="s">
        <v>58</v>
      </c>
      <c r="AW1" s="3" t="s">
        <v>60</v>
      </c>
      <c r="AX1" s="3" t="s">
        <v>61</v>
      </c>
      <c r="AY1" s="3" t="s">
        <v>62</v>
      </c>
      <c r="AZ1" s="3" t="s">
        <v>61</v>
      </c>
      <c r="BA1" s="3" t="s">
        <v>63</v>
      </c>
      <c r="BB1" s="3" t="s">
        <v>64</v>
      </c>
      <c r="BC1" s="3" t="s">
        <v>65</v>
      </c>
      <c r="BD1" s="3" t="s">
        <v>64</v>
      </c>
      <c r="BE1" s="3" t="s">
        <v>66</v>
      </c>
      <c r="BF1" s="3" t="s">
        <v>67</v>
      </c>
      <c r="BG1" s="3" t="s">
        <v>68</v>
      </c>
      <c r="BH1" s="3" t="s">
        <v>67</v>
      </c>
      <c r="BI1" s="3" t="s">
        <v>69</v>
      </c>
      <c r="BJ1" s="3" t="s">
        <v>70</v>
      </c>
      <c r="BK1" s="3" t="s">
        <v>71</v>
      </c>
      <c r="BL1" s="3" t="s">
        <v>70</v>
      </c>
      <c r="BM1" s="3" t="s">
        <v>72</v>
      </c>
      <c r="BN1" s="3" t="s">
        <v>73</v>
      </c>
      <c r="BO1" s="3" t="s">
        <v>74</v>
      </c>
      <c r="BP1" s="3" t="s">
        <v>73</v>
      </c>
      <c r="BQ1" s="3" t="s">
        <v>75</v>
      </c>
      <c r="BR1" s="3" t="s">
        <v>76</v>
      </c>
      <c r="BS1" s="3" t="s">
        <v>77</v>
      </c>
      <c r="BT1" s="3" t="s">
        <v>76</v>
      </c>
      <c r="BU1" s="3" t="s">
        <v>78</v>
      </c>
      <c r="BV1" s="3" t="s">
        <v>79</v>
      </c>
      <c r="BW1" s="3" t="s">
        <v>80</v>
      </c>
      <c r="BX1" s="3" t="s">
        <v>79</v>
      </c>
      <c r="BY1" s="3" t="s">
        <v>81</v>
      </c>
      <c r="BZ1" s="3" t="s">
        <v>82</v>
      </c>
      <c r="CA1" s="3" t="s">
        <v>83</v>
      </c>
      <c r="CB1" s="3" t="s">
        <v>82</v>
      </c>
    </row>
    <row r="2">
      <c r="A2" s="2" t="s">
        <v>84</v>
      </c>
      <c r="B2" s="4">
        <v>0.620055643</v>
      </c>
      <c r="C2" s="5"/>
      <c r="D2" s="5"/>
      <c r="E2" s="2" t="s">
        <v>85</v>
      </c>
      <c r="F2" s="4">
        <v>1.512</v>
      </c>
      <c r="G2" s="5"/>
      <c r="H2" s="5"/>
      <c r="I2" s="2" t="s">
        <v>85</v>
      </c>
      <c r="J2" s="4">
        <v>1.519348972</v>
      </c>
      <c r="K2" s="5"/>
      <c r="L2" s="5"/>
      <c r="M2" s="2" t="s">
        <v>85</v>
      </c>
      <c r="N2" s="4">
        <v>1.527315819</v>
      </c>
      <c r="O2" s="5"/>
      <c r="P2" s="5"/>
      <c r="Q2" s="2" t="s">
        <v>85</v>
      </c>
      <c r="R2" s="4">
        <v>1.528434146</v>
      </c>
      <c r="S2" s="5"/>
      <c r="T2" s="5"/>
      <c r="U2" s="2" t="s">
        <v>85</v>
      </c>
      <c r="V2" s="4">
        <v>1.529608515</v>
      </c>
      <c r="W2" s="5"/>
      <c r="X2" s="5"/>
      <c r="Y2" s="2" t="s">
        <v>85</v>
      </c>
      <c r="Z2" s="4">
        <v>1.530376898</v>
      </c>
      <c r="AA2" s="5"/>
      <c r="AB2" s="5"/>
      <c r="AC2" s="2" t="s">
        <v>85</v>
      </c>
      <c r="AD2" s="4">
        <v>1.530373765</v>
      </c>
      <c r="AE2" s="5"/>
      <c r="AF2" s="5"/>
      <c r="AG2" s="2" t="s">
        <v>85</v>
      </c>
      <c r="AH2" s="4">
        <v>1.530494655</v>
      </c>
      <c r="AI2" s="5"/>
      <c r="AJ2" s="5"/>
      <c r="AK2" s="2" t="s">
        <v>86</v>
      </c>
      <c r="AL2" s="4">
        <v>1.362944331</v>
      </c>
      <c r="AM2" s="5"/>
      <c r="AN2" s="5"/>
      <c r="AO2" s="2" t="s">
        <v>87</v>
      </c>
      <c r="AP2" s="4">
        <v>1.253638485</v>
      </c>
      <c r="AQ2" s="5"/>
      <c r="AR2" s="5"/>
      <c r="AS2" s="2" t="s">
        <v>86</v>
      </c>
      <c r="AT2" s="4">
        <v>1.228061957</v>
      </c>
      <c r="AU2" s="5"/>
      <c r="AV2" s="5"/>
      <c r="AW2" s="2" t="s">
        <v>86</v>
      </c>
      <c r="AX2" s="4">
        <v>1.419754363</v>
      </c>
      <c r="AY2" s="5"/>
      <c r="AZ2" s="5"/>
      <c r="BA2" s="2" t="s">
        <v>88</v>
      </c>
      <c r="BB2" s="4">
        <v>1.370526764</v>
      </c>
      <c r="BC2" s="5"/>
      <c r="BD2" s="5"/>
      <c r="BE2" s="2" t="s">
        <v>86</v>
      </c>
      <c r="BF2" s="4">
        <v>1.361060888</v>
      </c>
      <c r="BG2" s="5"/>
      <c r="BH2" s="5"/>
      <c r="BI2" s="2" t="s">
        <v>89</v>
      </c>
      <c r="BJ2" s="4">
        <v>1.728159347</v>
      </c>
      <c r="BK2" s="5"/>
      <c r="BL2" s="5"/>
      <c r="BM2" s="2" t="s">
        <v>86</v>
      </c>
      <c r="BN2" s="4">
        <v>1.359387991</v>
      </c>
      <c r="BO2" s="5"/>
      <c r="BP2" s="5"/>
      <c r="BQ2" s="2" t="s">
        <v>86</v>
      </c>
      <c r="BR2" s="4">
        <v>1.424470477</v>
      </c>
      <c r="BS2" s="5"/>
      <c r="BT2" s="5"/>
      <c r="BU2" s="2" t="s">
        <v>90</v>
      </c>
      <c r="BV2" s="4">
        <v>1.386347954</v>
      </c>
      <c r="BW2" s="5"/>
      <c r="BX2" s="5"/>
      <c r="BY2" s="2" t="s">
        <v>86</v>
      </c>
      <c r="BZ2" s="4">
        <v>1.424329151</v>
      </c>
      <c r="CA2" s="5"/>
      <c r="CB2" s="5"/>
    </row>
    <row r="3">
      <c r="A3" s="2" t="s">
        <v>84</v>
      </c>
      <c r="B3" s="4">
        <v>0.61996904</v>
      </c>
      <c r="C3" s="5"/>
      <c r="D3" s="5"/>
      <c r="E3" s="2" t="s">
        <v>84</v>
      </c>
      <c r="F3" s="4">
        <v>1.094055561</v>
      </c>
      <c r="G3" s="6"/>
      <c r="H3" s="6"/>
      <c r="I3" s="2" t="s">
        <v>85</v>
      </c>
      <c r="J3" s="4">
        <v>1.519405137</v>
      </c>
      <c r="K3" s="6"/>
      <c r="L3" s="6"/>
      <c r="M3" s="2" t="s">
        <v>85</v>
      </c>
      <c r="N3" s="4">
        <v>1.520306841</v>
      </c>
      <c r="O3" s="6"/>
      <c r="P3" s="6"/>
      <c r="Q3" s="2" t="s">
        <v>85</v>
      </c>
      <c r="R3" s="4">
        <v>1.528434146</v>
      </c>
      <c r="S3" s="6"/>
      <c r="T3" s="6"/>
      <c r="U3" s="2" t="s">
        <v>85</v>
      </c>
      <c r="V3" s="4">
        <v>1.528367135</v>
      </c>
      <c r="W3" s="6"/>
      <c r="X3" s="6"/>
      <c r="Y3" s="2" t="s">
        <v>85</v>
      </c>
      <c r="Z3" s="4">
        <v>1.530385589</v>
      </c>
      <c r="AA3" s="6"/>
      <c r="AB3" s="6"/>
      <c r="AC3" s="2" t="s">
        <v>85</v>
      </c>
      <c r="AD3" s="4">
        <v>1.531432953</v>
      </c>
      <c r="AE3" s="6"/>
      <c r="AF3" s="6"/>
      <c r="AG3" s="2" t="s">
        <v>85</v>
      </c>
      <c r="AH3" s="4">
        <v>1.529655468</v>
      </c>
      <c r="AI3" s="6"/>
      <c r="AJ3" s="6"/>
      <c r="AK3" s="2" t="s">
        <v>86</v>
      </c>
      <c r="AL3" s="4">
        <v>1.403761985</v>
      </c>
      <c r="AM3" s="6"/>
      <c r="AN3" s="6"/>
      <c r="AO3" s="2" t="s">
        <v>88</v>
      </c>
      <c r="AP3" s="4">
        <v>1.398134786</v>
      </c>
      <c r="AQ3" s="6"/>
      <c r="AR3" s="6"/>
      <c r="AS3" s="2" t="s">
        <v>86</v>
      </c>
      <c r="AT3" s="4">
        <v>1.236331598</v>
      </c>
      <c r="AU3" s="6"/>
      <c r="AV3" s="6"/>
      <c r="AW3" s="2" t="s">
        <v>91</v>
      </c>
      <c r="AX3" s="4">
        <v>0.972500545</v>
      </c>
      <c r="AY3" s="6"/>
      <c r="AZ3" s="6"/>
      <c r="BA3" s="2" t="s">
        <v>88</v>
      </c>
      <c r="BB3" s="4">
        <v>1.370391397</v>
      </c>
      <c r="BC3" s="6"/>
      <c r="BD3" s="6"/>
      <c r="BE3" s="2" t="s">
        <v>91</v>
      </c>
      <c r="BF3" s="4">
        <v>0.972715303</v>
      </c>
      <c r="BG3" s="6"/>
      <c r="BH3" s="6"/>
      <c r="BI3" s="2" t="s">
        <v>89</v>
      </c>
      <c r="BJ3" s="4">
        <v>1.728160589</v>
      </c>
      <c r="BK3" s="6"/>
      <c r="BL3" s="6"/>
      <c r="BM3" s="2" t="s">
        <v>91</v>
      </c>
      <c r="BN3" s="4">
        <v>0.98093432</v>
      </c>
      <c r="BO3" s="6"/>
      <c r="BP3" s="6"/>
      <c r="BQ3" s="2" t="s">
        <v>91</v>
      </c>
      <c r="BR3" s="4">
        <v>0.972247839</v>
      </c>
      <c r="BS3" s="6"/>
      <c r="BT3" s="6"/>
      <c r="BU3" s="2" t="s">
        <v>86</v>
      </c>
      <c r="BV3" s="4">
        <v>1.423512898</v>
      </c>
      <c r="BW3" s="6"/>
      <c r="BX3" s="6"/>
      <c r="BY3" s="2" t="s">
        <v>91</v>
      </c>
      <c r="BZ3" s="4">
        <v>0.971981332</v>
      </c>
      <c r="CA3" s="6"/>
      <c r="CB3" s="6"/>
    </row>
    <row r="4">
      <c r="A4" s="2" t="s">
        <v>84</v>
      </c>
      <c r="B4" s="4">
        <v>0.61996904</v>
      </c>
      <c r="C4" s="5"/>
      <c r="D4" s="5"/>
      <c r="E4" s="2" t="s">
        <v>84</v>
      </c>
      <c r="F4" s="4">
        <v>1.094043934</v>
      </c>
      <c r="G4" s="6"/>
      <c r="H4" s="6"/>
      <c r="I4" s="2" t="s">
        <v>84</v>
      </c>
      <c r="J4" s="4">
        <v>1.095604911</v>
      </c>
      <c r="K4" s="6"/>
      <c r="L4" s="6"/>
      <c r="M4" s="2" t="s">
        <v>84</v>
      </c>
      <c r="N4" s="4">
        <v>1.096287376</v>
      </c>
      <c r="O4" s="6"/>
      <c r="P4" s="6"/>
      <c r="Q4" s="2" t="s">
        <v>84</v>
      </c>
      <c r="R4" s="4">
        <v>1.09674838</v>
      </c>
      <c r="S4" s="6"/>
      <c r="T4" s="6"/>
      <c r="U4" s="2" t="s">
        <v>84</v>
      </c>
      <c r="V4" s="4">
        <v>1.096935226</v>
      </c>
      <c r="W4" s="5"/>
      <c r="X4" s="5"/>
      <c r="Y4" s="2" t="s">
        <v>84</v>
      </c>
      <c r="Z4" s="4">
        <v>1.09660637</v>
      </c>
      <c r="AA4" s="5"/>
      <c r="AB4" s="5"/>
      <c r="AC4" s="2" t="s">
        <v>84</v>
      </c>
      <c r="AD4" s="4">
        <v>1.096980784</v>
      </c>
      <c r="AE4" s="5"/>
      <c r="AF4" s="5"/>
      <c r="AG4" s="2" t="s">
        <v>84</v>
      </c>
      <c r="AH4" s="4">
        <v>1.096806464</v>
      </c>
      <c r="AI4" s="5"/>
      <c r="AJ4" s="5"/>
      <c r="AK4" s="2" t="s">
        <v>86</v>
      </c>
      <c r="AL4" s="4">
        <v>1.362034632</v>
      </c>
      <c r="AM4" s="5"/>
      <c r="AN4" s="5"/>
      <c r="AO4" s="2" t="s">
        <v>87</v>
      </c>
      <c r="AP4" s="4">
        <v>1.253638485</v>
      </c>
      <c r="AQ4" s="5"/>
      <c r="AR4" s="5"/>
      <c r="AS4" s="2" t="s">
        <v>88</v>
      </c>
      <c r="AT4" s="4">
        <v>1.388103836</v>
      </c>
      <c r="AU4" s="5"/>
      <c r="AV4" s="5"/>
      <c r="AW4" s="2" t="s">
        <v>92</v>
      </c>
      <c r="AX4" s="4">
        <v>1.419754363</v>
      </c>
      <c r="AY4" s="5"/>
      <c r="AZ4" s="5"/>
      <c r="BA4" s="2" t="s">
        <v>93</v>
      </c>
      <c r="BB4" s="4">
        <v>1.010703883</v>
      </c>
      <c r="BC4" s="5"/>
      <c r="BD4" s="5"/>
      <c r="BE4" s="2" t="s">
        <v>86</v>
      </c>
      <c r="BF4" s="4">
        <v>1.22686595</v>
      </c>
      <c r="BG4" s="5"/>
      <c r="BH4" s="5"/>
      <c r="BI4" s="2" t="s">
        <v>86</v>
      </c>
      <c r="BJ4" s="4">
        <v>1.359177696</v>
      </c>
      <c r="BK4" s="5"/>
      <c r="BL4" s="5"/>
      <c r="BM4" s="2" t="s">
        <v>86</v>
      </c>
      <c r="BN4" s="4">
        <v>1.22418856</v>
      </c>
      <c r="BO4" s="5"/>
      <c r="BP4" s="5"/>
      <c r="BQ4" s="2" t="s">
        <v>86</v>
      </c>
      <c r="BR4" s="4">
        <v>1.420604776</v>
      </c>
      <c r="BS4" s="5"/>
      <c r="BT4" s="5"/>
      <c r="BU4" s="2" t="s">
        <v>91</v>
      </c>
      <c r="BV4" s="4">
        <v>0.966553842</v>
      </c>
      <c r="BW4" s="5"/>
      <c r="BX4" s="5"/>
      <c r="BY4" s="2" t="s">
        <v>86</v>
      </c>
      <c r="BZ4" s="4">
        <v>1.229430148</v>
      </c>
      <c r="CA4" s="5"/>
      <c r="CB4" s="5"/>
    </row>
    <row r="5">
      <c r="A5" s="2" t="s">
        <v>84</v>
      </c>
      <c r="B5" s="4">
        <v>0.61996904</v>
      </c>
      <c r="C5" s="5"/>
      <c r="D5" s="5"/>
      <c r="E5" s="2" t="s">
        <v>84</v>
      </c>
      <c r="F5" s="4">
        <v>1.094091198</v>
      </c>
      <c r="G5" s="6"/>
      <c r="H5" s="6"/>
      <c r="I5" s="2" t="s">
        <v>84</v>
      </c>
      <c r="J5" s="4">
        <v>1.095604911</v>
      </c>
      <c r="K5" s="6"/>
      <c r="L5" s="6"/>
      <c r="M5" s="2" t="s">
        <v>84</v>
      </c>
      <c r="N5" s="4">
        <v>1.096138983</v>
      </c>
      <c r="O5" s="6"/>
      <c r="P5" s="6"/>
      <c r="Q5" s="2" t="s">
        <v>84</v>
      </c>
      <c r="R5" s="4">
        <v>1.096884761</v>
      </c>
      <c r="S5" s="6"/>
      <c r="T5" s="6"/>
      <c r="U5" s="2" t="s">
        <v>84</v>
      </c>
      <c r="V5" s="4">
        <v>1.09688472</v>
      </c>
      <c r="W5" s="6"/>
      <c r="X5" s="6"/>
      <c r="Y5" s="2" t="s">
        <v>84</v>
      </c>
      <c r="Z5" s="4">
        <v>1.09667601</v>
      </c>
      <c r="AA5" s="5"/>
      <c r="AB5" s="5"/>
      <c r="AC5" s="2" t="s">
        <v>84</v>
      </c>
      <c r="AD5" s="4">
        <v>1.097273917</v>
      </c>
      <c r="AE5" s="5"/>
      <c r="AF5" s="5"/>
      <c r="AG5" s="2" t="s">
        <v>84</v>
      </c>
      <c r="AH5" s="4">
        <v>1.096867184</v>
      </c>
      <c r="AI5" s="5"/>
      <c r="AJ5" s="5"/>
      <c r="AK5" s="2" t="s">
        <v>91</v>
      </c>
      <c r="AL5" s="4">
        <v>0.981013038</v>
      </c>
      <c r="AM5" s="5"/>
      <c r="AN5" s="5"/>
      <c r="AO5" s="2" t="s">
        <v>88</v>
      </c>
      <c r="AP5" s="4">
        <v>1.405441489</v>
      </c>
      <c r="AQ5" s="5"/>
      <c r="AR5" s="5"/>
      <c r="AS5" s="2" t="s">
        <v>88</v>
      </c>
      <c r="AT5" s="4">
        <v>1.41734802</v>
      </c>
      <c r="AU5" s="5"/>
      <c r="AV5" s="5"/>
      <c r="AW5" s="2" t="s">
        <v>85</v>
      </c>
      <c r="AX5" s="4">
        <v>1.51379633</v>
      </c>
      <c r="AY5" s="5"/>
      <c r="AZ5" s="5"/>
      <c r="BA5" s="2" t="s">
        <v>94</v>
      </c>
      <c r="BB5" s="4">
        <v>1.370526764</v>
      </c>
      <c r="BC5" s="5"/>
      <c r="BD5" s="5"/>
      <c r="BE5" s="2" t="s">
        <v>88</v>
      </c>
      <c r="BF5" s="4">
        <v>1.395227329</v>
      </c>
      <c r="BG5" s="5"/>
      <c r="BH5" s="5"/>
      <c r="BI5" s="2" t="s">
        <v>91</v>
      </c>
      <c r="BJ5" s="4">
        <v>0.981007538</v>
      </c>
      <c r="BK5" s="5"/>
      <c r="BL5" s="5"/>
      <c r="BM5" s="2" t="s">
        <v>85</v>
      </c>
      <c r="BN5" s="4">
        <v>1.541308191</v>
      </c>
      <c r="BO5" s="5"/>
      <c r="BP5" s="5"/>
      <c r="BQ5" s="2" t="s">
        <v>91</v>
      </c>
      <c r="BR5" s="4">
        <v>0.972202597</v>
      </c>
      <c r="BS5" s="5"/>
      <c r="BT5" s="5"/>
      <c r="BU5" s="2" t="s">
        <v>86</v>
      </c>
      <c r="BV5" s="4">
        <v>1.419035849</v>
      </c>
      <c r="BW5" s="5"/>
      <c r="BX5" s="5"/>
      <c r="BY5" s="2" t="s">
        <v>86</v>
      </c>
      <c r="BZ5" s="4">
        <v>1.230072006</v>
      </c>
      <c r="CA5" s="5"/>
      <c r="CB5" s="5"/>
    </row>
    <row r="6">
      <c r="A6" s="2" t="s">
        <v>95</v>
      </c>
      <c r="B6" s="4">
        <v>0.620055643</v>
      </c>
      <c r="C6" s="5"/>
      <c r="D6" s="5"/>
      <c r="E6" s="2" t="s">
        <v>85</v>
      </c>
      <c r="F6" s="4">
        <v>1.512</v>
      </c>
      <c r="G6" s="6"/>
      <c r="H6" s="6"/>
      <c r="I6" s="2" t="s">
        <v>85</v>
      </c>
      <c r="J6" s="4">
        <v>1.519348972</v>
      </c>
      <c r="K6" s="6"/>
      <c r="L6" s="6"/>
      <c r="M6" s="2" t="s">
        <v>85</v>
      </c>
      <c r="N6" s="4">
        <v>1.527315819</v>
      </c>
      <c r="O6" s="6"/>
      <c r="P6" s="6"/>
      <c r="Q6" s="2" t="s">
        <v>85</v>
      </c>
      <c r="R6" s="4">
        <v>1.528434146</v>
      </c>
      <c r="S6" s="6"/>
      <c r="T6" s="6"/>
      <c r="U6" s="2" t="s">
        <v>85</v>
      </c>
      <c r="V6" s="4">
        <v>1.529608515</v>
      </c>
      <c r="W6" s="6"/>
      <c r="X6" s="6"/>
      <c r="Y6" s="2" t="s">
        <v>85</v>
      </c>
      <c r="Z6" s="4">
        <v>1.530376898</v>
      </c>
      <c r="AA6" s="6"/>
      <c r="AB6" s="6"/>
      <c r="AC6" s="2" t="s">
        <v>85</v>
      </c>
      <c r="AD6" s="4">
        <v>1.530373765</v>
      </c>
      <c r="AE6" s="5"/>
      <c r="AF6" s="5"/>
      <c r="AG6" s="2" t="s">
        <v>85</v>
      </c>
      <c r="AH6" s="4">
        <v>1.530494655</v>
      </c>
      <c r="AI6" s="5"/>
      <c r="AJ6" s="5"/>
      <c r="AK6" s="2" t="s">
        <v>86</v>
      </c>
      <c r="AL6" s="4">
        <v>1.227323111</v>
      </c>
      <c r="AM6" s="5"/>
      <c r="AN6" s="5"/>
      <c r="AO6" s="2" t="s">
        <v>94</v>
      </c>
      <c r="AP6" s="4">
        <v>1.398134786</v>
      </c>
      <c r="AQ6" s="5"/>
      <c r="AR6" s="5"/>
      <c r="AS6" s="2" t="s">
        <v>88</v>
      </c>
      <c r="AT6" s="4">
        <v>1.457653556</v>
      </c>
      <c r="AU6" s="5"/>
      <c r="AV6" s="5"/>
      <c r="AW6" s="2" t="s">
        <v>84</v>
      </c>
      <c r="AX6" s="4">
        <v>1.094014675</v>
      </c>
      <c r="AY6" s="5"/>
      <c r="AZ6" s="5"/>
      <c r="BA6" s="2" t="s">
        <v>85</v>
      </c>
      <c r="BB6" s="4">
        <v>1.377324512</v>
      </c>
      <c r="BC6" s="5"/>
      <c r="BD6" s="5"/>
      <c r="BE6" s="2" t="s">
        <v>88</v>
      </c>
      <c r="BF6" s="4">
        <v>1.401301798</v>
      </c>
      <c r="BG6" s="5"/>
      <c r="BH6" s="5"/>
      <c r="BI6" s="2" t="s">
        <v>86</v>
      </c>
      <c r="BJ6" s="4">
        <v>1.223374767</v>
      </c>
      <c r="BK6" s="5"/>
      <c r="BL6" s="5"/>
      <c r="BM6" s="2" t="s">
        <v>85</v>
      </c>
      <c r="BN6" s="4">
        <v>1.530764365</v>
      </c>
      <c r="BO6" s="5"/>
      <c r="BP6" s="5"/>
      <c r="BQ6" s="2" t="s">
        <v>86</v>
      </c>
      <c r="BR6" s="4">
        <v>1.230109686</v>
      </c>
      <c r="BS6" s="5"/>
      <c r="BT6" s="5"/>
      <c r="BU6" s="2" t="s">
        <v>91</v>
      </c>
      <c r="BV6" s="4">
        <v>0.972242984</v>
      </c>
      <c r="BW6" s="5"/>
      <c r="BX6" s="5"/>
      <c r="BY6" s="2" t="s">
        <v>86</v>
      </c>
      <c r="BZ6" s="4">
        <v>1.411998049</v>
      </c>
      <c r="CA6" s="5"/>
      <c r="CB6" s="5"/>
    </row>
    <row r="7">
      <c r="A7" s="2" t="s">
        <v>95</v>
      </c>
      <c r="B7" s="4">
        <v>0.61996904</v>
      </c>
      <c r="C7" s="5"/>
      <c r="D7" s="5"/>
      <c r="E7" s="2" t="s">
        <v>84</v>
      </c>
      <c r="F7" s="4">
        <v>1.094043934</v>
      </c>
      <c r="G7" s="6"/>
      <c r="H7" s="6"/>
      <c r="I7" s="2" t="s">
        <v>84</v>
      </c>
      <c r="J7" s="4">
        <v>1.094753548</v>
      </c>
      <c r="K7" s="6"/>
      <c r="L7" s="6"/>
      <c r="M7" s="2" t="s">
        <v>85</v>
      </c>
      <c r="N7" s="4">
        <v>1.520309034</v>
      </c>
      <c r="O7" s="6"/>
      <c r="P7" s="6"/>
      <c r="Q7" s="2" t="s">
        <v>85</v>
      </c>
      <c r="R7" s="4">
        <v>1.520338995</v>
      </c>
      <c r="S7" s="6"/>
      <c r="T7" s="6"/>
      <c r="U7" s="2" t="s">
        <v>85</v>
      </c>
      <c r="V7" s="4">
        <v>1.528447762</v>
      </c>
      <c r="W7" s="6"/>
      <c r="X7" s="6"/>
      <c r="Y7" s="2" t="s">
        <v>85</v>
      </c>
      <c r="Z7" s="4">
        <v>1.530132292</v>
      </c>
      <c r="AA7" s="6"/>
      <c r="AB7" s="6"/>
      <c r="AC7" s="2" t="s">
        <v>85</v>
      </c>
      <c r="AD7" s="4">
        <v>1.530401937</v>
      </c>
      <c r="AE7" s="6"/>
      <c r="AF7" s="5"/>
      <c r="AG7" s="2" t="s">
        <v>85</v>
      </c>
      <c r="AH7" s="4">
        <v>1.530361493</v>
      </c>
      <c r="AI7" s="5"/>
      <c r="AJ7" s="5"/>
      <c r="AK7" s="2" t="s">
        <v>86</v>
      </c>
      <c r="AL7" s="4">
        <v>1.22382321</v>
      </c>
      <c r="AM7" s="5"/>
      <c r="AN7" s="5"/>
      <c r="AO7" s="2" t="s">
        <v>85</v>
      </c>
      <c r="AP7" s="4">
        <v>1.394985753</v>
      </c>
      <c r="AQ7" s="5"/>
      <c r="AR7" s="5"/>
      <c r="AS7" s="2" t="s">
        <v>88</v>
      </c>
      <c r="AT7" s="4">
        <v>1.365408488</v>
      </c>
      <c r="AU7" s="5"/>
      <c r="AV7" s="5"/>
      <c r="AW7" s="2" t="s">
        <v>84</v>
      </c>
      <c r="AX7" s="4">
        <v>1.093711872</v>
      </c>
      <c r="AY7" s="5"/>
      <c r="AZ7" s="5"/>
      <c r="BA7" s="2" t="s">
        <v>84</v>
      </c>
      <c r="BB7" s="4">
        <v>1.080906115</v>
      </c>
      <c r="BC7" s="5"/>
      <c r="BD7" s="5"/>
      <c r="BE7" s="2" t="s">
        <v>93</v>
      </c>
      <c r="BF7" s="4">
        <v>1.017940322</v>
      </c>
      <c r="BG7" s="5"/>
      <c r="BH7" s="5"/>
      <c r="BI7" s="2" t="s">
        <v>88</v>
      </c>
      <c r="BJ7" s="4">
        <v>1.412229829</v>
      </c>
      <c r="BK7" s="5"/>
      <c r="BL7" s="5"/>
      <c r="BM7" s="2" t="s">
        <v>85</v>
      </c>
      <c r="BN7" s="4">
        <v>1.530602685</v>
      </c>
      <c r="BO7" s="5"/>
      <c r="BP7" s="5"/>
      <c r="BQ7" s="2" t="s">
        <v>86</v>
      </c>
      <c r="BR7" s="4">
        <v>1.411912363</v>
      </c>
      <c r="BS7" s="5"/>
      <c r="BT7" s="5"/>
      <c r="BU7" s="2" t="s">
        <v>86</v>
      </c>
      <c r="BV7" s="4">
        <v>1.230090249</v>
      </c>
      <c r="BW7" s="5"/>
      <c r="BX7" s="5"/>
      <c r="BY7" s="2" t="s">
        <v>91</v>
      </c>
      <c r="BZ7" s="4">
        <v>0.972473012</v>
      </c>
      <c r="CA7" s="5"/>
      <c r="CB7" s="5"/>
    </row>
    <row r="8">
      <c r="A8" s="2" t="s">
        <v>95</v>
      </c>
      <c r="B8" s="4">
        <v>0.61996904</v>
      </c>
      <c r="C8" s="5"/>
      <c r="D8" s="5"/>
      <c r="E8" s="2" t="s">
        <v>84</v>
      </c>
      <c r="F8" s="4">
        <v>1.094091198</v>
      </c>
      <c r="G8" s="6"/>
      <c r="H8" s="6"/>
      <c r="I8" s="2" t="s">
        <v>84</v>
      </c>
      <c r="J8" s="4">
        <v>1.094723714</v>
      </c>
      <c r="K8" s="6"/>
      <c r="L8" s="6"/>
      <c r="M8" s="2" t="s">
        <v>84</v>
      </c>
      <c r="N8" s="4">
        <v>1.096197291</v>
      </c>
      <c r="O8" s="6"/>
      <c r="P8" s="6"/>
      <c r="Q8" s="2" t="s">
        <v>84</v>
      </c>
      <c r="R8" s="4">
        <v>1.096266469</v>
      </c>
      <c r="S8" s="6"/>
      <c r="T8" s="6"/>
      <c r="U8" s="2" t="s">
        <v>84</v>
      </c>
      <c r="V8" s="4">
        <v>1.096853723</v>
      </c>
      <c r="W8" s="6"/>
      <c r="X8" s="6"/>
      <c r="Y8" s="2" t="s">
        <v>84</v>
      </c>
      <c r="Z8" s="4">
        <v>1.097105601</v>
      </c>
      <c r="AA8" s="6"/>
      <c r="AB8" s="6"/>
      <c r="AC8" s="2" t="s">
        <v>84</v>
      </c>
      <c r="AD8" s="4">
        <v>1.096628301</v>
      </c>
      <c r="AE8" s="6"/>
      <c r="AF8" s="6"/>
      <c r="AG8" s="2" t="s">
        <v>84</v>
      </c>
      <c r="AH8" s="4">
        <v>1.09656687</v>
      </c>
      <c r="AI8" s="5"/>
      <c r="AJ8" s="5"/>
      <c r="AK8" s="2" t="s">
        <v>92</v>
      </c>
      <c r="AL8" s="4">
        <v>1.362944331</v>
      </c>
      <c r="AM8" s="5"/>
      <c r="AN8" s="5"/>
      <c r="AO8" s="2" t="s">
        <v>85</v>
      </c>
      <c r="AP8" s="4">
        <v>1.394684588</v>
      </c>
      <c r="AQ8" s="5"/>
      <c r="AR8" s="5"/>
      <c r="AS8" s="2" t="s">
        <v>88</v>
      </c>
      <c r="AT8" s="4">
        <v>1.370950896</v>
      </c>
      <c r="AU8" s="5"/>
      <c r="AV8" s="5"/>
      <c r="AW8" s="2" t="s">
        <v>85</v>
      </c>
      <c r="AX8" s="4">
        <v>1.51379633</v>
      </c>
      <c r="AY8" s="5"/>
      <c r="AZ8" s="5"/>
      <c r="BA8" s="2" t="s">
        <v>94</v>
      </c>
      <c r="BB8" s="4">
        <v>1.370391397</v>
      </c>
      <c r="BC8" s="5"/>
      <c r="BD8" s="5"/>
      <c r="BE8" s="2" t="s">
        <v>94</v>
      </c>
      <c r="BF8" s="4">
        <v>1.395227329</v>
      </c>
      <c r="BG8" s="5"/>
      <c r="BH8" s="5"/>
      <c r="BI8" s="2" t="s">
        <v>88</v>
      </c>
      <c r="BJ8" s="4">
        <v>1.407094347</v>
      </c>
      <c r="BK8" s="5"/>
      <c r="BL8" s="5"/>
      <c r="BM8" s="2" t="s">
        <v>84</v>
      </c>
      <c r="BN8" s="4">
        <v>1.096981613</v>
      </c>
      <c r="BO8" s="5"/>
      <c r="BP8" s="5"/>
      <c r="BQ8" s="2" t="s">
        <v>91</v>
      </c>
      <c r="BR8" s="4">
        <v>0.972546971</v>
      </c>
      <c r="BS8" s="5"/>
      <c r="BT8" s="5"/>
      <c r="BU8" s="2" t="s">
        <v>86</v>
      </c>
      <c r="BV8" s="4">
        <v>1.41193701</v>
      </c>
      <c r="BW8" s="5"/>
      <c r="BX8" s="5"/>
      <c r="BY8" s="2" t="s">
        <v>86</v>
      </c>
      <c r="BZ8" s="4">
        <v>1.226327224</v>
      </c>
      <c r="CA8" s="5"/>
      <c r="CB8" s="5"/>
    </row>
    <row r="9">
      <c r="A9" s="2" t="s">
        <v>95</v>
      </c>
      <c r="B9" s="4">
        <v>0.61996904</v>
      </c>
      <c r="C9" s="5"/>
      <c r="D9" s="5"/>
      <c r="E9" s="2" t="s">
        <v>84</v>
      </c>
      <c r="F9" s="4">
        <v>1.094055561</v>
      </c>
      <c r="G9" s="6"/>
      <c r="H9" s="6"/>
      <c r="I9" s="2" t="s">
        <v>84</v>
      </c>
      <c r="J9" s="4">
        <v>1.094448322</v>
      </c>
      <c r="K9" s="6"/>
      <c r="L9" s="6"/>
      <c r="M9" s="2" t="s">
        <v>84</v>
      </c>
      <c r="N9" s="4">
        <v>1.096295644</v>
      </c>
      <c r="O9" s="6"/>
      <c r="P9" s="6"/>
      <c r="Q9" s="2" t="s">
        <v>84</v>
      </c>
      <c r="R9" s="4">
        <v>1.096308191</v>
      </c>
      <c r="S9" s="6"/>
      <c r="T9" s="6"/>
      <c r="U9" s="2" t="s">
        <v>84</v>
      </c>
      <c r="V9" s="4">
        <v>1.09687538</v>
      </c>
      <c r="W9" s="6"/>
      <c r="X9" s="6"/>
      <c r="Y9" s="2" t="s">
        <v>84</v>
      </c>
      <c r="Z9" s="4">
        <v>1.09720381</v>
      </c>
      <c r="AA9" s="6"/>
      <c r="AB9" s="6"/>
      <c r="AC9" s="2" t="s">
        <v>84</v>
      </c>
      <c r="AD9" s="4">
        <v>1.096719372</v>
      </c>
      <c r="AE9" s="6"/>
      <c r="AF9" s="6"/>
      <c r="AG9" s="2" t="s">
        <v>84</v>
      </c>
      <c r="AH9" s="4">
        <v>1.09667492</v>
      </c>
      <c r="AI9" s="6"/>
      <c r="AJ9" s="6"/>
      <c r="AK9" s="2" t="s">
        <v>85</v>
      </c>
      <c r="AL9" s="4">
        <v>1.394968781</v>
      </c>
      <c r="AM9" s="5"/>
      <c r="AN9" s="5"/>
      <c r="AO9" s="2" t="s">
        <v>94</v>
      </c>
      <c r="AP9" s="4">
        <v>1.405441489</v>
      </c>
      <c r="AQ9" s="5"/>
      <c r="AR9" s="5"/>
      <c r="AS9" s="2" t="s">
        <v>88</v>
      </c>
      <c r="AT9" s="4">
        <v>1.443422229</v>
      </c>
      <c r="AU9" s="5"/>
      <c r="AV9" s="5"/>
      <c r="AW9" s="2" t="s">
        <v>84</v>
      </c>
      <c r="AX9" s="4">
        <v>1.093633842</v>
      </c>
      <c r="AY9" s="5"/>
      <c r="AZ9" s="5"/>
      <c r="BA9" s="2" t="s">
        <v>85</v>
      </c>
      <c r="BB9" s="4">
        <v>1.377470243</v>
      </c>
      <c r="BC9" s="5"/>
      <c r="BD9" s="5"/>
      <c r="BE9" s="2" t="s">
        <v>85</v>
      </c>
      <c r="BF9" s="4">
        <v>1.394800204</v>
      </c>
      <c r="BG9" s="5"/>
      <c r="BH9" s="5"/>
      <c r="BI9" s="2" t="s">
        <v>93</v>
      </c>
      <c r="BJ9" s="4">
        <v>1.01506022</v>
      </c>
      <c r="BK9" s="5"/>
      <c r="BL9" s="5"/>
      <c r="BM9" s="2" t="s">
        <v>85</v>
      </c>
      <c r="BN9" s="4">
        <v>1.541308191</v>
      </c>
      <c r="BO9" s="5"/>
      <c r="BP9" s="5"/>
      <c r="BQ9" s="2" t="s">
        <v>86</v>
      </c>
      <c r="BR9" s="4">
        <v>1.229164163</v>
      </c>
      <c r="BS9" s="5"/>
      <c r="BT9" s="5"/>
      <c r="BU9" s="2" t="s">
        <v>91</v>
      </c>
      <c r="BV9" s="4">
        <v>0.972466503</v>
      </c>
      <c r="BW9" s="5"/>
      <c r="BX9" s="5"/>
      <c r="BY9" s="2" t="s">
        <v>85</v>
      </c>
      <c r="BZ9" s="4">
        <v>1.548469086</v>
      </c>
      <c r="CA9" s="5"/>
      <c r="CB9" s="5"/>
    </row>
    <row r="10">
      <c r="A10" s="5"/>
      <c r="B10" s="5"/>
      <c r="C10" s="5"/>
      <c r="D10" s="5"/>
      <c r="E10" s="2" t="s">
        <v>95</v>
      </c>
      <c r="F10" s="4">
        <v>1.094055561</v>
      </c>
      <c r="G10" s="6"/>
      <c r="H10" s="6"/>
      <c r="I10" s="2" t="s">
        <v>85</v>
      </c>
      <c r="J10" s="4">
        <v>1.519405137</v>
      </c>
      <c r="K10" s="6"/>
      <c r="L10" s="6"/>
      <c r="M10" s="2" t="s">
        <v>85</v>
      </c>
      <c r="N10" s="4">
        <v>1.520306841</v>
      </c>
      <c r="O10" s="6"/>
      <c r="P10" s="6"/>
      <c r="Q10" s="2" t="s">
        <v>85</v>
      </c>
      <c r="R10" s="4">
        <v>1.528434146</v>
      </c>
      <c r="S10" s="6"/>
      <c r="T10" s="6"/>
      <c r="U10" s="2" t="s">
        <v>85</v>
      </c>
      <c r="V10" s="4">
        <v>1.528367135</v>
      </c>
      <c r="W10" s="6"/>
      <c r="X10" s="6"/>
      <c r="Y10" s="2" t="s">
        <v>85</v>
      </c>
      <c r="Z10" s="4">
        <v>1.530385589</v>
      </c>
      <c r="AA10" s="6"/>
      <c r="AB10" s="6"/>
      <c r="AC10" s="2" t="s">
        <v>85</v>
      </c>
      <c r="AD10" s="4">
        <v>1.531432953</v>
      </c>
      <c r="AE10" s="6"/>
      <c r="AF10" s="6"/>
      <c r="AG10" s="2" t="s">
        <v>85</v>
      </c>
      <c r="AH10" s="4">
        <v>1.529655468</v>
      </c>
      <c r="AI10" s="6"/>
      <c r="AJ10" s="6"/>
      <c r="AK10" s="2" t="s">
        <v>85</v>
      </c>
      <c r="AL10" s="4">
        <v>1.394976835</v>
      </c>
      <c r="AM10" s="6"/>
      <c r="AN10" s="6"/>
      <c r="AO10" s="2" t="s">
        <v>85</v>
      </c>
      <c r="AP10" s="4">
        <v>1.391271911</v>
      </c>
      <c r="AQ10" s="5"/>
      <c r="AR10" s="5"/>
      <c r="AS10" s="2" t="s">
        <v>88</v>
      </c>
      <c r="AT10" s="4">
        <v>1.420266207</v>
      </c>
      <c r="AU10" s="5"/>
      <c r="AV10" s="5"/>
      <c r="AW10" s="2" t="s">
        <v>84</v>
      </c>
      <c r="AX10" s="4">
        <v>1.094983735</v>
      </c>
      <c r="AY10" s="5"/>
      <c r="AZ10" s="5"/>
      <c r="BA10" s="2" t="s">
        <v>84</v>
      </c>
      <c r="BB10" s="4">
        <v>1.08089697</v>
      </c>
      <c r="BC10" s="5"/>
      <c r="BD10" s="5"/>
      <c r="BE10" s="2" t="s">
        <v>85</v>
      </c>
      <c r="BF10" s="4">
        <v>1.394917352</v>
      </c>
      <c r="BG10" s="5"/>
      <c r="BH10" s="5"/>
      <c r="BI10" s="2" t="s">
        <v>85</v>
      </c>
      <c r="BJ10" s="4">
        <v>1.394852605</v>
      </c>
      <c r="BK10" s="5"/>
      <c r="BL10" s="5"/>
      <c r="BM10" s="2" t="s">
        <v>85</v>
      </c>
      <c r="BN10" s="4">
        <v>1.509213855</v>
      </c>
      <c r="BO10" s="5"/>
      <c r="BP10" s="5"/>
      <c r="BQ10" s="2" t="s">
        <v>85</v>
      </c>
      <c r="BR10" s="4">
        <v>1.544072573</v>
      </c>
      <c r="BS10" s="5"/>
      <c r="BT10" s="5"/>
      <c r="BU10" s="2" t="s">
        <v>86</v>
      </c>
      <c r="BV10" s="4">
        <v>1.226393762</v>
      </c>
      <c r="BW10" s="5"/>
      <c r="BX10" s="5"/>
      <c r="BY10" s="2" t="s">
        <v>85</v>
      </c>
      <c r="BZ10" s="4">
        <v>1.549704007</v>
      </c>
      <c r="CA10" s="5"/>
      <c r="CB10" s="5"/>
    </row>
    <row r="11">
      <c r="A11" s="5"/>
      <c r="B11" s="5"/>
      <c r="C11" s="5"/>
      <c r="D11" s="5"/>
      <c r="E11" s="2" t="s">
        <v>95</v>
      </c>
      <c r="F11" s="4">
        <v>1.094043934</v>
      </c>
      <c r="G11" s="6"/>
      <c r="H11" s="6"/>
      <c r="I11" s="2" t="s">
        <v>84</v>
      </c>
      <c r="J11" s="4">
        <v>1.094506469</v>
      </c>
      <c r="K11" s="6"/>
      <c r="L11" s="6"/>
      <c r="M11" s="2" t="s">
        <v>84</v>
      </c>
      <c r="N11" s="4">
        <v>1.094670001</v>
      </c>
      <c r="O11" s="6"/>
      <c r="P11" s="6"/>
      <c r="Q11" s="2" t="s">
        <v>85</v>
      </c>
      <c r="R11" s="4">
        <v>1.520421721</v>
      </c>
      <c r="S11" s="6"/>
      <c r="T11" s="6"/>
      <c r="U11" s="2" t="s">
        <v>85</v>
      </c>
      <c r="V11" s="4">
        <v>1.520315405</v>
      </c>
      <c r="W11" s="6"/>
      <c r="X11" s="6"/>
      <c r="Y11" s="2" t="s">
        <v>85</v>
      </c>
      <c r="Z11" s="4">
        <v>1.528591695</v>
      </c>
      <c r="AA11" s="6"/>
      <c r="AB11" s="6"/>
      <c r="AC11" s="2" t="s">
        <v>85</v>
      </c>
      <c r="AD11" s="4">
        <v>1.529311626</v>
      </c>
      <c r="AE11" s="6"/>
      <c r="AF11" s="6"/>
      <c r="AG11" s="2" t="s">
        <v>85</v>
      </c>
      <c r="AH11" s="4">
        <v>1.529474897</v>
      </c>
      <c r="AI11" s="6"/>
      <c r="AJ11" s="6"/>
      <c r="AK11" s="2" t="s">
        <v>85</v>
      </c>
      <c r="AL11" s="4">
        <v>1.394968781</v>
      </c>
      <c r="AM11" s="6"/>
      <c r="AN11" s="6"/>
      <c r="AO11" s="2" t="s">
        <v>85</v>
      </c>
      <c r="AP11" s="4">
        <v>1.391194656</v>
      </c>
      <c r="AQ11" s="6"/>
      <c r="AR11" s="5"/>
      <c r="AS11" s="2" t="s">
        <v>88</v>
      </c>
      <c r="AT11" s="4">
        <v>1.441729271</v>
      </c>
      <c r="AU11" s="5"/>
      <c r="AV11" s="5"/>
      <c r="AW11" s="2" t="s">
        <v>84</v>
      </c>
      <c r="AX11" s="4">
        <v>1.095038506</v>
      </c>
      <c r="AY11" s="5"/>
      <c r="AZ11" s="5"/>
      <c r="BA11" s="2" t="s">
        <v>85</v>
      </c>
      <c r="BB11" s="4">
        <v>1.377324512</v>
      </c>
      <c r="BC11" s="5"/>
      <c r="BD11" s="5"/>
      <c r="BE11" s="2" t="s">
        <v>85</v>
      </c>
      <c r="BF11" s="4">
        <v>1.394800204</v>
      </c>
      <c r="BG11" s="5"/>
      <c r="BH11" s="5"/>
      <c r="BI11" s="2" t="s">
        <v>85</v>
      </c>
      <c r="BJ11" s="4">
        <v>1.49394765</v>
      </c>
      <c r="BK11" s="5"/>
      <c r="BL11" s="5"/>
      <c r="BM11" s="2" t="s">
        <v>84</v>
      </c>
      <c r="BN11" s="4">
        <v>1.098229457</v>
      </c>
      <c r="BO11" s="5"/>
      <c r="BP11" s="5"/>
      <c r="BQ11" s="2" t="s">
        <v>85</v>
      </c>
      <c r="BR11" s="4">
        <v>1.553751994</v>
      </c>
      <c r="BS11" s="5"/>
      <c r="BT11" s="5"/>
      <c r="BU11" s="2" t="s">
        <v>85</v>
      </c>
      <c r="BV11" s="4">
        <v>1.544416845</v>
      </c>
      <c r="BW11" s="5"/>
      <c r="BX11" s="5"/>
      <c r="BY11" s="2" t="s">
        <v>85</v>
      </c>
      <c r="BZ11" s="4">
        <v>1.532292808</v>
      </c>
      <c r="CA11" s="5"/>
      <c r="CB11" s="5"/>
    </row>
    <row r="12">
      <c r="A12" s="5"/>
      <c r="B12" s="5"/>
      <c r="C12" s="5"/>
      <c r="D12" s="5"/>
      <c r="E12" s="2" t="s">
        <v>95</v>
      </c>
      <c r="F12" s="4">
        <v>1.094091198</v>
      </c>
      <c r="G12" s="6"/>
      <c r="H12" s="6"/>
      <c r="I12" s="2" t="s">
        <v>84</v>
      </c>
      <c r="J12" s="4">
        <v>1.094668868</v>
      </c>
      <c r="K12" s="6"/>
      <c r="L12" s="6"/>
      <c r="M12" s="2" t="s">
        <v>84</v>
      </c>
      <c r="N12" s="4">
        <v>1.094694629</v>
      </c>
      <c r="O12" s="6"/>
      <c r="P12" s="6"/>
      <c r="Q12" s="2" t="s">
        <v>84</v>
      </c>
      <c r="R12" s="4">
        <v>1.096184806</v>
      </c>
      <c r="S12" s="6"/>
      <c r="T12" s="6"/>
      <c r="U12" s="2" t="s">
        <v>84</v>
      </c>
      <c r="V12" s="4">
        <v>1.096329134</v>
      </c>
      <c r="W12" s="6"/>
      <c r="X12" s="6"/>
      <c r="Y12" s="2" t="s">
        <v>84</v>
      </c>
      <c r="Z12" s="4">
        <v>1.096683783</v>
      </c>
      <c r="AA12" s="6"/>
      <c r="AB12" s="6"/>
      <c r="AC12" s="2" t="s">
        <v>84</v>
      </c>
      <c r="AD12" s="4">
        <v>1.097143436</v>
      </c>
      <c r="AE12" s="6"/>
      <c r="AF12" s="6"/>
      <c r="AG12" s="2" t="s">
        <v>84</v>
      </c>
      <c r="AH12" s="4">
        <v>1.096803547</v>
      </c>
      <c r="AI12" s="6"/>
      <c r="AJ12" s="6"/>
      <c r="AK12" s="2" t="s">
        <v>85</v>
      </c>
      <c r="AL12" s="4">
        <v>1.394895197</v>
      </c>
      <c r="AM12" s="6"/>
      <c r="AN12" s="6"/>
      <c r="AO12" s="2" t="s">
        <v>85</v>
      </c>
      <c r="AP12" s="4">
        <v>1.394985753</v>
      </c>
      <c r="AQ12" s="6"/>
      <c r="AR12" s="6"/>
      <c r="AS12" s="2" t="s">
        <v>88</v>
      </c>
      <c r="AT12" s="4">
        <v>1.459291554</v>
      </c>
      <c r="AU12" s="6"/>
      <c r="AV12" s="6"/>
      <c r="AW12" s="2" t="s">
        <v>95</v>
      </c>
      <c r="AX12" s="4">
        <v>1.094014675</v>
      </c>
      <c r="AY12" s="6"/>
      <c r="AZ12" s="6"/>
      <c r="BA12" s="2" t="s">
        <v>85</v>
      </c>
      <c r="BB12" s="4">
        <v>1.416805382</v>
      </c>
      <c r="BC12" s="6"/>
      <c r="BD12" s="6"/>
      <c r="BE12" s="2" t="s">
        <v>85</v>
      </c>
      <c r="BF12" s="4">
        <v>1.394912976</v>
      </c>
      <c r="BG12" s="6"/>
      <c r="BH12" s="6"/>
      <c r="BI12" s="2" t="s">
        <v>85</v>
      </c>
      <c r="BJ12" s="4">
        <v>1.394889189</v>
      </c>
      <c r="BK12" s="6"/>
      <c r="BL12" s="6"/>
      <c r="BM12" s="2" t="s">
        <v>84</v>
      </c>
      <c r="BN12" s="4">
        <v>1.098374881</v>
      </c>
      <c r="BO12" s="6"/>
      <c r="BP12" s="6"/>
      <c r="BQ12" s="2" t="s">
        <v>85</v>
      </c>
      <c r="BR12" s="4">
        <v>1.542345451</v>
      </c>
      <c r="BS12" s="6"/>
      <c r="BT12" s="6"/>
      <c r="BU12" s="2" t="s">
        <v>85</v>
      </c>
      <c r="BV12" s="4">
        <v>1.557430557</v>
      </c>
      <c r="BW12" s="6"/>
      <c r="BX12" s="6"/>
      <c r="BY12" s="2" t="s">
        <v>85</v>
      </c>
      <c r="BZ12" s="4">
        <v>1.554008086</v>
      </c>
      <c r="CA12" s="6"/>
      <c r="CB12" s="6"/>
    </row>
    <row r="13">
      <c r="A13" s="5"/>
      <c r="B13" s="5"/>
      <c r="C13" s="5"/>
      <c r="D13" s="5"/>
      <c r="E13" s="2" t="s">
        <v>95</v>
      </c>
      <c r="F13" s="4">
        <v>1.094043934</v>
      </c>
      <c r="G13" s="6"/>
      <c r="H13" s="6"/>
      <c r="I13" s="2" t="s">
        <v>84</v>
      </c>
      <c r="J13" s="4">
        <v>1.094668868</v>
      </c>
      <c r="K13" s="6"/>
      <c r="L13" s="6"/>
      <c r="M13" s="2" t="s">
        <v>84</v>
      </c>
      <c r="N13" s="4">
        <v>1.094589535</v>
      </c>
      <c r="O13" s="6"/>
      <c r="P13" s="6"/>
      <c r="Q13" s="2" t="s">
        <v>84</v>
      </c>
      <c r="R13" s="4">
        <v>1.09622759</v>
      </c>
      <c r="S13" s="6"/>
      <c r="T13" s="6"/>
      <c r="U13" s="2" t="s">
        <v>84</v>
      </c>
      <c r="V13" s="4">
        <v>1.096171182</v>
      </c>
      <c r="W13" s="6"/>
      <c r="X13" s="6"/>
      <c r="Y13" s="2" t="s">
        <v>84</v>
      </c>
      <c r="Z13" s="4">
        <v>1.096845304</v>
      </c>
      <c r="AA13" s="6"/>
      <c r="AB13" s="6"/>
      <c r="AC13" s="2" t="s">
        <v>84</v>
      </c>
      <c r="AD13" s="4">
        <v>1.097067605</v>
      </c>
      <c r="AE13" s="6"/>
      <c r="AF13" s="6"/>
      <c r="AG13" s="2" t="s">
        <v>84</v>
      </c>
      <c r="AH13" s="4">
        <v>1.096799166</v>
      </c>
      <c r="AI13" s="6"/>
      <c r="AJ13" s="6"/>
      <c r="AK13" s="2" t="s">
        <v>85</v>
      </c>
      <c r="AL13" s="4">
        <v>1.456314025</v>
      </c>
      <c r="AM13" s="6"/>
      <c r="AN13" s="6"/>
      <c r="AO13" s="2" t="s">
        <v>85</v>
      </c>
      <c r="AP13" s="4">
        <v>1.394879095</v>
      </c>
      <c r="AQ13" s="6"/>
      <c r="AR13" s="6"/>
      <c r="AS13" s="2" t="s">
        <v>88</v>
      </c>
      <c r="AT13" s="4">
        <v>1.369105489</v>
      </c>
      <c r="AU13" s="6"/>
      <c r="AV13" s="6"/>
      <c r="AW13" s="2" t="s">
        <v>95</v>
      </c>
      <c r="AX13" s="4">
        <v>1.093711872</v>
      </c>
      <c r="AY13" s="6"/>
      <c r="AZ13" s="6"/>
      <c r="BA13" s="2" t="s">
        <v>84</v>
      </c>
      <c r="BB13" s="4">
        <v>1.0809729</v>
      </c>
      <c r="BC13" s="6"/>
      <c r="BD13" s="6"/>
      <c r="BE13" s="2" t="s">
        <v>84</v>
      </c>
      <c r="BF13" s="4">
        <v>1.081035823</v>
      </c>
      <c r="BG13" s="6"/>
      <c r="BH13" s="6"/>
      <c r="BI13" s="2" t="s">
        <v>94</v>
      </c>
      <c r="BJ13" s="4">
        <v>1.412229829</v>
      </c>
      <c r="BK13" s="6"/>
      <c r="BL13" s="6"/>
      <c r="BM13" s="2" t="s">
        <v>85</v>
      </c>
      <c r="BN13" s="4">
        <v>1.509213855</v>
      </c>
      <c r="BO13" s="6"/>
      <c r="BP13" s="6"/>
      <c r="BQ13" s="2" t="s">
        <v>85</v>
      </c>
      <c r="BR13" s="4">
        <v>1.553834167</v>
      </c>
      <c r="BS13" s="6"/>
      <c r="BT13" s="6"/>
      <c r="BU13" s="2" t="s">
        <v>85</v>
      </c>
      <c r="BV13" s="4">
        <v>1.542622303</v>
      </c>
      <c r="BW13" s="6"/>
      <c r="BX13" s="6"/>
      <c r="BY13" s="2" t="s">
        <v>85</v>
      </c>
      <c r="BZ13" s="4">
        <v>1.548469086</v>
      </c>
      <c r="CA13" s="6"/>
      <c r="CB13" s="6"/>
    </row>
    <row r="14">
      <c r="A14" s="5"/>
      <c r="B14" s="5"/>
      <c r="C14" s="5"/>
      <c r="D14" s="5"/>
      <c r="E14" s="2" t="s">
        <v>95</v>
      </c>
      <c r="F14" s="4">
        <v>1.094091198</v>
      </c>
      <c r="G14" s="6"/>
      <c r="H14" s="6"/>
      <c r="I14" s="2" t="s">
        <v>95</v>
      </c>
      <c r="J14" s="4">
        <v>1.095604911</v>
      </c>
      <c r="K14" s="6"/>
      <c r="L14" s="6"/>
      <c r="M14" s="2" t="s">
        <v>85</v>
      </c>
      <c r="N14" s="4">
        <v>1.520309034</v>
      </c>
      <c r="O14" s="6"/>
      <c r="P14" s="6"/>
      <c r="Q14" s="2" t="s">
        <v>85</v>
      </c>
      <c r="R14" s="4">
        <v>1.520338995</v>
      </c>
      <c r="S14" s="6"/>
      <c r="T14" s="6"/>
      <c r="U14" s="2" t="s">
        <v>85</v>
      </c>
      <c r="V14" s="4">
        <v>1.528447762</v>
      </c>
      <c r="W14" s="6"/>
      <c r="X14" s="6"/>
      <c r="Y14" s="2" t="s">
        <v>85</v>
      </c>
      <c r="Z14" s="4">
        <v>1.530132292</v>
      </c>
      <c r="AA14" s="6"/>
      <c r="AB14" s="6"/>
      <c r="AC14" s="2" t="s">
        <v>85</v>
      </c>
      <c r="AD14" s="4">
        <v>1.530401937</v>
      </c>
      <c r="AE14" s="6"/>
      <c r="AF14" s="6"/>
      <c r="AG14" s="2" t="s">
        <v>85</v>
      </c>
      <c r="AH14" s="4">
        <v>1.530361493</v>
      </c>
      <c r="AI14" s="6"/>
      <c r="AJ14" s="6"/>
      <c r="AK14" s="2" t="s">
        <v>85</v>
      </c>
      <c r="AL14" s="4">
        <v>1.394976835</v>
      </c>
      <c r="AM14" s="6"/>
      <c r="AN14" s="6"/>
      <c r="AO14" s="2" t="s">
        <v>84</v>
      </c>
      <c r="AP14" s="4">
        <v>1.087022704</v>
      </c>
      <c r="AQ14" s="6"/>
      <c r="AR14" s="6"/>
      <c r="AS14" s="2" t="s">
        <v>88</v>
      </c>
      <c r="AT14" s="4">
        <v>1.317078001</v>
      </c>
      <c r="AU14" s="6"/>
      <c r="AV14" s="6"/>
      <c r="AW14" s="2" t="s">
        <v>95</v>
      </c>
      <c r="AX14" s="4">
        <v>1.093633842</v>
      </c>
      <c r="AY14" s="6"/>
      <c r="AZ14" s="6"/>
      <c r="BA14" s="2" t="s">
        <v>85</v>
      </c>
      <c r="BB14" s="4">
        <v>1.377470243</v>
      </c>
      <c r="BC14" s="6"/>
      <c r="BD14" s="6"/>
      <c r="BE14" s="2" t="s">
        <v>85</v>
      </c>
      <c r="BF14" s="4">
        <v>1.394917352</v>
      </c>
      <c r="BG14" s="6"/>
      <c r="BH14" s="6"/>
      <c r="BI14" s="2" t="s">
        <v>85</v>
      </c>
      <c r="BJ14" s="4">
        <v>1.394852605</v>
      </c>
      <c r="BK14" s="6"/>
      <c r="BL14" s="6"/>
      <c r="BM14" s="2" t="s">
        <v>85</v>
      </c>
      <c r="BN14" s="4">
        <v>1.385916725</v>
      </c>
      <c r="BO14" s="6"/>
      <c r="BP14" s="6"/>
      <c r="BQ14" s="2" t="s">
        <v>85</v>
      </c>
      <c r="BR14" s="4">
        <v>1.544072573</v>
      </c>
      <c r="BS14" s="6"/>
      <c r="BT14" s="6"/>
      <c r="BU14" s="2" t="s">
        <v>85</v>
      </c>
      <c r="BV14" s="4">
        <v>1.554081854</v>
      </c>
      <c r="BW14" s="6"/>
      <c r="BX14" s="6"/>
      <c r="BY14" s="2" t="s">
        <v>85</v>
      </c>
      <c r="BZ14" s="4">
        <v>1.536321428</v>
      </c>
      <c r="CA14" s="6"/>
      <c r="CB14" s="6"/>
    </row>
    <row r="15">
      <c r="A15" s="5"/>
      <c r="B15" s="5"/>
      <c r="C15" s="5"/>
      <c r="D15" s="5"/>
      <c r="E15" s="2" t="s">
        <v>95</v>
      </c>
      <c r="F15" s="4">
        <v>1.094055561</v>
      </c>
      <c r="G15" s="6"/>
      <c r="H15" s="6"/>
      <c r="I15" s="2" t="s">
        <v>95</v>
      </c>
      <c r="J15" s="4">
        <v>1.095604911</v>
      </c>
      <c r="K15" s="6"/>
      <c r="L15" s="6"/>
      <c r="M15" s="2" t="s">
        <v>84</v>
      </c>
      <c r="N15" s="4">
        <v>1.094658595</v>
      </c>
      <c r="O15" s="6"/>
      <c r="P15" s="6"/>
      <c r="Q15" s="2" t="s">
        <v>84</v>
      </c>
      <c r="R15" s="4">
        <v>1.094675116</v>
      </c>
      <c r="S15" s="6"/>
      <c r="T15" s="6"/>
      <c r="U15" s="2" t="s">
        <v>85</v>
      </c>
      <c r="V15" s="4">
        <v>1.520436559</v>
      </c>
      <c r="W15" s="6"/>
      <c r="X15" s="6"/>
      <c r="Y15" s="2" t="s">
        <v>85</v>
      </c>
      <c r="Z15" s="4">
        <v>1.52081103</v>
      </c>
      <c r="AA15" s="6"/>
      <c r="AB15" s="6"/>
      <c r="AC15" s="2" t="s">
        <v>85</v>
      </c>
      <c r="AD15" s="4">
        <v>1.528655233</v>
      </c>
      <c r="AE15" s="6"/>
      <c r="AF15" s="6"/>
      <c r="AG15" s="2" t="s">
        <v>85</v>
      </c>
      <c r="AH15" s="4">
        <v>1.530275635</v>
      </c>
      <c r="AI15" s="6"/>
      <c r="AJ15" s="6"/>
      <c r="AK15" s="2" t="s">
        <v>85</v>
      </c>
      <c r="AL15" s="4">
        <v>1.394870625</v>
      </c>
      <c r="AM15" s="6"/>
      <c r="AN15" s="6"/>
      <c r="AO15" s="2" t="s">
        <v>85</v>
      </c>
      <c r="AP15" s="4">
        <v>1.391271911</v>
      </c>
      <c r="AQ15" s="6"/>
      <c r="AR15" s="6"/>
      <c r="AS15" s="2" t="s">
        <v>94</v>
      </c>
      <c r="AT15" s="4">
        <v>1.365408488</v>
      </c>
      <c r="AU15" s="6"/>
      <c r="AV15" s="6"/>
      <c r="AW15" s="2" t="s">
        <v>95</v>
      </c>
      <c r="AX15" s="4">
        <v>1.094983735</v>
      </c>
      <c r="AY15" s="6"/>
      <c r="AZ15" s="6"/>
      <c r="BA15" s="2" t="s">
        <v>85</v>
      </c>
      <c r="BB15" s="4">
        <v>1.416805382</v>
      </c>
      <c r="BC15" s="6"/>
      <c r="BD15" s="6"/>
      <c r="BE15" s="2" t="s">
        <v>85</v>
      </c>
      <c r="BF15" s="4">
        <v>1.394857362</v>
      </c>
      <c r="BG15" s="6"/>
      <c r="BH15" s="6"/>
      <c r="BI15" s="2" t="s">
        <v>85</v>
      </c>
      <c r="BJ15" s="4">
        <v>1.394929038</v>
      </c>
      <c r="BK15" s="6"/>
      <c r="BL15" s="6"/>
      <c r="BM15" s="2" t="s">
        <v>85</v>
      </c>
      <c r="BN15" s="4">
        <v>1.386050843</v>
      </c>
      <c r="BO15" s="6"/>
      <c r="BP15" s="6"/>
      <c r="BQ15" s="2" t="s">
        <v>85</v>
      </c>
      <c r="BR15" s="4">
        <v>1.536101341</v>
      </c>
      <c r="BS15" s="6"/>
      <c r="BT15" s="6"/>
      <c r="BU15" s="2" t="s">
        <v>85</v>
      </c>
      <c r="BV15" s="4">
        <v>1.544416845</v>
      </c>
      <c r="BW15" s="6"/>
      <c r="BX15" s="6"/>
      <c r="BY15" s="2" t="s">
        <v>85</v>
      </c>
      <c r="BZ15" s="4">
        <v>1.526832309</v>
      </c>
      <c r="CA15" s="6"/>
      <c r="CB15" s="6"/>
    </row>
    <row r="16">
      <c r="A16" s="5"/>
      <c r="B16" s="5"/>
      <c r="C16" s="5"/>
      <c r="D16" s="5"/>
      <c r="E16" s="5"/>
      <c r="F16" s="5"/>
      <c r="G16" s="6"/>
      <c r="H16" s="6"/>
      <c r="I16" s="2" t="s">
        <v>95</v>
      </c>
      <c r="J16" s="4">
        <v>1.094753548</v>
      </c>
      <c r="K16" s="6"/>
      <c r="L16" s="6"/>
      <c r="M16" s="2" t="s">
        <v>84</v>
      </c>
      <c r="N16" s="4">
        <v>1.094514034</v>
      </c>
      <c r="O16" s="6"/>
      <c r="P16" s="6"/>
      <c r="Q16" s="2" t="s">
        <v>84</v>
      </c>
      <c r="R16" s="4">
        <v>1.094800027</v>
      </c>
      <c r="S16" s="6"/>
      <c r="T16" s="6"/>
      <c r="U16" s="2" t="s">
        <v>84</v>
      </c>
      <c r="V16" s="4">
        <v>1.09625773</v>
      </c>
      <c r="W16" s="6"/>
      <c r="X16" s="6"/>
      <c r="Y16" s="2" t="s">
        <v>84</v>
      </c>
      <c r="Z16" s="4">
        <v>1.096461299</v>
      </c>
      <c r="AA16" s="6"/>
      <c r="AB16" s="6"/>
      <c r="AC16" s="2" t="s">
        <v>84</v>
      </c>
      <c r="AD16" s="4">
        <v>1.096863424</v>
      </c>
      <c r="AE16" s="6"/>
      <c r="AF16" s="6"/>
      <c r="AG16" s="2" t="s">
        <v>84</v>
      </c>
      <c r="AH16" s="4">
        <v>1.097067382</v>
      </c>
      <c r="AI16" s="6"/>
      <c r="AJ16" s="6"/>
      <c r="AK16" s="2" t="s">
        <v>84</v>
      </c>
      <c r="AL16" s="4">
        <v>1.086633011</v>
      </c>
      <c r="AM16" s="6"/>
      <c r="AN16" s="6"/>
      <c r="AO16" s="2" t="s">
        <v>85</v>
      </c>
      <c r="AP16" s="4">
        <v>1.394869381</v>
      </c>
      <c r="AQ16" s="6"/>
      <c r="AR16" s="6"/>
      <c r="AS16" s="2" t="s">
        <v>85</v>
      </c>
      <c r="AT16" s="4">
        <v>1.368202748</v>
      </c>
      <c r="AU16" s="6"/>
      <c r="AV16" s="6"/>
      <c r="AW16" s="2" t="s">
        <v>95</v>
      </c>
      <c r="AX16" s="4">
        <v>1.095038506</v>
      </c>
      <c r="AY16" s="6"/>
      <c r="AZ16" s="6"/>
      <c r="BA16" s="2" t="s">
        <v>84</v>
      </c>
      <c r="BB16" s="4">
        <v>1.08096024</v>
      </c>
      <c r="BC16" s="6"/>
      <c r="BD16" s="6"/>
      <c r="BE16" s="2" t="s">
        <v>84</v>
      </c>
      <c r="BF16" s="4">
        <v>1.087008201</v>
      </c>
      <c r="BG16" s="6"/>
      <c r="BH16" s="6"/>
      <c r="BI16" s="2" t="s">
        <v>85</v>
      </c>
      <c r="BJ16" s="4">
        <v>1.49394765</v>
      </c>
      <c r="BK16" s="6"/>
      <c r="BL16" s="6"/>
      <c r="BM16" s="2" t="s">
        <v>85</v>
      </c>
      <c r="BN16" s="4">
        <v>1.491394438</v>
      </c>
      <c r="BO16" s="6"/>
      <c r="BP16" s="6"/>
      <c r="BQ16" s="2" t="s">
        <v>85</v>
      </c>
      <c r="BR16" s="4">
        <v>1.526408943</v>
      </c>
      <c r="BS16" s="6"/>
      <c r="BT16" s="6"/>
      <c r="BU16" s="2" t="s">
        <v>85</v>
      </c>
      <c r="BV16" s="4">
        <v>1.536705548</v>
      </c>
      <c r="BW16" s="6"/>
      <c r="BX16" s="6"/>
      <c r="BY16" s="2" t="s">
        <v>84</v>
      </c>
      <c r="BZ16" s="4">
        <v>1.102409021</v>
      </c>
      <c r="CA16" s="6"/>
      <c r="CB16" s="6"/>
    </row>
    <row r="17">
      <c r="A17" s="5"/>
      <c r="B17" s="5"/>
      <c r="C17" s="5"/>
      <c r="D17" s="5"/>
      <c r="E17" s="5"/>
      <c r="F17" s="5"/>
      <c r="G17" s="6"/>
      <c r="H17" s="6"/>
      <c r="I17" s="2" t="s">
        <v>95</v>
      </c>
      <c r="J17" s="4">
        <v>1.094723714</v>
      </c>
      <c r="K17" s="6"/>
      <c r="L17" s="6"/>
      <c r="M17" s="2" t="s">
        <v>84</v>
      </c>
      <c r="N17" s="4">
        <v>1.094717137</v>
      </c>
      <c r="O17" s="6"/>
      <c r="P17" s="6"/>
      <c r="Q17" s="2" t="s">
        <v>84</v>
      </c>
      <c r="R17" s="4">
        <v>1.094526541</v>
      </c>
      <c r="S17" s="6"/>
      <c r="T17" s="6"/>
      <c r="U17" s="2" t="s">
        <v>84</v>
      </c>
      <c r="V17" s="4">
        <v>1.096328464</v>
      </c>
      <c r="W17" s="6"/>
      <c r="X17" s="6"/>
      <c r="Y17" s="2" t="s">
        <v>84</v>
      </c>
      <c r="Z17" s="4">
        <v>1.096493183</v>
      </c>
      <c r="AA17" s="6"/>
      <c r="AB17" s="6"/>
      <c r="AC17" s="2" t="s">
        <v>84</v>
      </c>
      <c r="AD17" s="4">
        <v>1.09687223</v>
      </c>
      <c r="AE17" s="6"/>
      <c r="AF17" s="6"/>
      <c r="AG17" s="2" t="s">
        <v>84</v>
      </c>
      <c r="AH17" s="4">
        <v>1.09714083</v>
      </c>
      <c r="AI17" s="6"/>
      <c r="AJ17" s="6"/>
      <c r="AK17" s="2" t="s">
        <v>85</v>
      </c>
      <c r="AL17" s="4">
        <v>1.394895197</v>
      </c>
      <c r="AM17" s="6"/>
      <c r="AN17" s="6"/>
      <c r="AO17" s="2" t="s">
        <v>84</v>
      </c>
      <c r="AP17" s="4">
        <v>1.086662823</v>
      </c>
      <c r="AQ17" s="6"/>
      <c r="AR17" s="6"/>
      <c r="AS17" s="2" t="s">
        <v>85</v>
      </c>
      <c r="AT17" s="4">
        <v>1.427012165</v>
      </c>
      <c r="AU17" s="6"/>
      <c r="AV17" s="6"/>
      <c r="AW17" s="2" t="s">
        <v>96</v>
      </c>
      <c r="AX17" s="4">
        <v>0.972500545</v>
      </c>
      <c r="AY17" s="6"/>
      <c r="AZ17" s="6"/>
      <c r="BA17" s="2" t="s">
        <v>97</v>
      </c>
      <c r="BB17" s="4">
        <v>1.010703883</v>
      </c>
      <c r="BC17" s="6"/>
      <c r="BD17" s="6"/>
      <c r="BE17" s="2" t="s">
        <v>85</v>
      </c>
      <c r="BF17" s="4">
        <v>1.394912976</v>
      </c>
      <c r="BG17" s="6"/>
      <c r="BH17" s="6"/>
      <c r="BI17" s="2" t="s">
        <v>85</v>
      </c>
      <c r="BJ17" s="4">
        <v>1.514958488</v>
      </c>
      <c r="BK17" s="6"/>
      <c r="BL17" s="6"/>
      <c r="BM17" s="2" t="s">
        <v>85</v>
      </c>
      <c r="BN17" s="4">
        <v>1.394958487</v>
      </c>
      <c r="BO17" s="6"/>
      <c r="BP17" s="6"/>
      <c r="BQ17" s="2" t="s">
        <v>84</v>
      </c>
      <c r="BR17" s="4">
        <v>1.102911483</v>
      </c>
      <c r="BS17" s="6"/>
      <c r="BT17" s="6"/>
      <c r="BU17" s="2" t="s">
        <v>85</v>
      </c>
      <c r="BV17" s="4">
        <v>1.528455403</v>
      </c>
      <c r="BW17" s="6"/>
      <c r="BX17" s="6"/>
      <c r="BY17" s="2" t="s">
        <v>85</v>
      </c>
      <c r="BZ17" s="4">
        <v>1.536321428</v>
      </c>
      <c r="CA17" s="6"/>
      <c r="CB17" s="6"/>
    </row>
    <row r="18">
      <c r="A18" s="5"/>
      <c r="B18" s="5"/>
      <c r="C18" s="5"/>
      <c r="D18" s="5"/>
      <c r="E18" s="5"/>
      <c r="F18" s="5"/>
      <c r="G18" s="6"/>
      <c r="H18" s="6"/>
      <c r="I18" s="2" t="s">
        <v>95</v>
      </c>
      <c r="J18" s="4">
        <v>1.094448322</v>
      </c>
      <c r="K18" s="6"/>
      <c r="L18" s="6"/>
      <c r="M18" s="2" t="s">
        <v>95</v>
      </c>
      <c r="N18" s="4">
        <v>1.096287376</v>
      </c>
      <c r="O18" s="6"/>
      <c r="P18" s="6"/>
      <c r="Q18" s="2" t="s">
        <v>85</v>
      </c>
      <c r="R18" s="4">
        <v>1.520421721</v>
      </c>
      <c r="S18" s="6"/>
      <c r="T18" s="6"/>
      <c r="U18" s="2" t="s">
        <v>85</v>
      </c>
      <c r="V18" s="4">
        <v>1.520315405</v>
      </c>
      <c r="W18" s="6"/>
      <c r="X18" s="6"/>
      <c r="Y18" s="2" t="s">
        <v>85</v>
      </c>
      <c r="Z18" s="4">
        <v>1.528591695</v>
      </c>
      <c r="AA18" s="6"/>
      <c r="AB18" s="6"/>
      <c r="AC18" s="2" t="s">
        <v>85</v>
      </c>
      <c r="AD18" s="4">
        <v>1.529311626</v>
      </c>
      <c r="AE18" s="6"/>
      <c r="AF18" s="6"/>
      <c r="AG18" s="2" t="s">
        <v>85</v>
      </c>
      <c r="AH18" s="4">
        <v>1.529474897</v>
      </c>
      <c r="AI18" s="6"/>
      <c r="AJ18" s="6"/>
      <c r="AK18" s="2" t="s">
        <v>85</v>
      </c>
      <c r="AL18" s="4">
        <v>1.394971437</v>
      </c>
      <c r="AM18" s="6"/>
      <c r="AN18" s="6"/>
      <c r="AO18" s="2" t="s">
        <v>85</v>
      </c>
      <c r="AP18" s="4">
        <v>1.394684588</v>
      </c>
      <c r="AQ18" s="6"/>
      <c r="AR18" s="6"/>
      <c r="AS18" s="2" t="s">
        <v>94</v>
      </c>
      <c r="AT18" s="4">
        <v>1.388103836</v>
      </c>
      <c r="AU18" s="6"/>
      <c r="AV18" s="6"/>
      <c r="AW18" s="6"/>
      <c r="AX18" s="6"/>
      <c r="AY18" s="6"/>
      <c r="AZ18" s="6"/>
      <c r="BA18" s="2" t="s">
        <v>95</v>
      </c>
      <c r="BB18" s="4">
        <v>1.080906115</v>
      </c>
      <c r="BC18" s="6"/>
      <c r="BD18" s="6"/>
      <c r="BE18" s="2" t="s">
        <v>85</v>
      </c>
      <c r="BF18" s="4">
        <v>1.394776104</v>
      </c>
      <c r="BG18" s="6"/>
      <c r="BH18" s="6"/>
      <c r="BI18" s="2" t="s">
        <v>84</v>
      </c>
      <c r="BJ18" s="4">
        <v>1.095027844</v>
      </c>
      <c r="BK18" s="6"/>
      <c r="BL18" s="6"/>
      <c r="BM18" s="2" t="s">
        <v>85</v>
      </c>
      <c r="BN18" s="4">
        <v>1.394874812</v>
      </c>
      <c r="BO18" s="6"/>
      <c r="BP18" s="6"/>
      <c r="BQ18" s="2" t="s">
        <v>85</v>
      </c>
      <c r="BR18" s="4">
        <v>1.536101341</v>
      </c>
      <c r="BS18" s="6"/>
      <c r="BT18" s="6"/>
      <c r="BU18" s="2" t="s">
        <v>84</v>
      </c>
      <c r="BV18" s="4">
        <v>1.102373934</v>
      </c>
      <c r="BW18" s="6"/>
      <c r="BX18" s="6"/>
      <c r="BY18" s="2" t="s">
        <v>85</v>
      </c>
      <c r="BZ18" s="4">
        <v>1.564130049</v>
      </c>
      <c r="CA18" s="6"/>
      <c r="CB18" s="6"/>
    </row>
    <row r="19">
      <c r="A19" s="5"/>
      <c r="B19" s="5"/>
      <c r="C19" s="5"/>
      <c r="D19" s="5"/>
      <c r="E19" s="5"/>
      <c r="F19" s="5"/>
      <c r="G19" s="6"/>
      <c r="H19" s="6"/>
      <c r="I19" s="2" t="s">
        <v>95</v>
      </c>
      <c r="J19" s="4">
        <v>1.094506469</v>
      </c>
      <c r="K19" s="6"/>
      <c r="L19" s="6"/>
      <c r="M19" s="2" t="s">
        <v>95</v>
      </c>
      <c r="N19" s="4">
        <v>1.096138983</v>
      </c>
      <c r="O19" s="6"/>
      <c r="P19" s="6"/>
      <c r="Q19" s="2" t="s">
        <v>84</v>
      </c>
      <c r="R19" s="4">
        <v>1.094731396</v>
      </c>
      <c r="S19" s="6"/>
      <c r="T19" s="6"/>
      <c r="U19" s="2" t="s">
        <v>84</v>
      </c>
      <c r="V19" s="4">
        <v>1.094643476</v>
      </c>
      <c r="W19" s="6"/>
      <c r="X19" s="6"/>
      <c r="Y19" s="2" t="s">
        <v>85</v>
      </c>
      <c r="Z19" s="4">
        <v>1.520314283</v>
      </c>
      <c r="AA19" s="6"/>
      <c r="AB19" s="6"/>
      <c r="AC19" s="2" t="s">
        <v>85</v>
      </c>
      <c r="AD19" s="4">
        <v>1.521047981</v>
      </c>
      <c r="AE19" s="6"/>
      <c r="AF19" s="6"/>
      <c r="AG19" s="2" t="s">
        <v>85</v>
      </c>
      <c r="AH19" s="4">
        <v>1.528453679</v>
      </c>
      <c r="AI19" s="6"/>
      <c r="AJ19" s="6"/>
      <c r="AK19" s="2" t="s">
        <v>84</v>
      </c>
      <c r="AL19" s="4">
        <v>1.086825363</v>
      </c>
      <c r="AM19" s="6"/>
      <c r="AN19" s="6"/>
      <c r="AO19" s="2" t="s">
        <v>85</v>
      </c>
      <c r="AP19" s="4">
        <v>1.394959806</v>
      </c>
      <c r="AQ19" s="6"/>
      <c r="AR19" s="6"/>
      <c r="AS19" s="2" t="s">
        <v>94</v>
      </c>
      <c r="AT19" s="4">
        <v>1.369105489</v>
      </c>
      <c r="AU19" s="6"/>
      <c r="AV19" s="6"/>
      <c r="AW19" s="6"/>
      <c r="AX19" s="6"/>
      <c r="AY19" s="6"/>
      <c r="AZ19" s="6"/>
      <c r="BA19" s="2" t="s">
        <v>95</v>
      </c>
      <c r="BB19" s="4">
        <v>1.08089697</v>
      </c>
      <c r="BC19" s="6"/>
      <c r="BD19" s="6"/>
      <c r="BE19" s="2" t="s">
        <v>84</v>
      </c>
      <c r="BF19" s="4">
        <v>1.086942726</v>
      </c>
      <c r="BG19" s="6"/>
      <c r="BH19" s="6"/>
      <c r="BI19" s="2" t="s">
        <v>84</v>
      </c>
      <c r="BJ19" s="4">
        <v>1.09830066</v>
      </c>
      <c r="BK19" s="6"/>
      <c r="BL19" s="6"/>
      <c r="BM19" s="2" t="s">
        <v>85</v>
      </c>
      <c r="BN19" s="4">
        <v>1.491394438</v>
      </c>
      <c r="BO19" s="6"/>
      <c r="BP19" s="6"/>
      <c r="BQ19" s="2" t="s">
        <v>85</v>
      </c>
      <c r="BR19" s="4">
        <v>1.563344495</v>
      </c>
      <c r="BS19" s="6"/>
      <c r="BT19" s="6"/>
      <c r="BU19" s="2" t="s">
        <v>85</v>
      </c>
      <c r="BV19" s="4">
        <v>1.536705548</v>
      </c>
      <c r="BW19" s="6"/>
      <c r="BX19" s="6"/>
      <c r="BY19" s="2" t="s">
        <v>85</v>
      </c>
      <c r="BZ19" s="4">
        <v>1.535952564</v>
      </c>
      <c r="CA19" s="6"/>
      <c r="CB19" s="6"/>
    </row>
    <row r="20">
      <c r="A20" s="5"/>
      <c r="B20" s="5"/>
      <c r="C20" s="5"/>
      <c r="D20" s="5"/>
      <c r="E20" s="5"/>
      <c r="F20" s="5"/>
      <c r="G20" s="6"/>
      <c r="H20" s="6"/>
      <c r="I20" s="2" t="s">
        <v>95</v>
      </c>
      <c r="J20" s="4">
        <v>1.094668868</v>
      </c>
      <c r="K20" s="6"/>
      <c r="L20" s="6"/>
      <c r="M20" s="2" t="s">
        <v>95</v>
      </c>
      <c r="N20" s="4">
        <v>1.096197291</v>
      </c>
      <c r="O20" s="6"/>
      <c r="P20" s="6"/>
      <c r="Q20" s="2" t="s">
        <v>84</v>
      </c>
      <c r="R20" s="4">
        <v>1.094443845</v>
      </c>
      <c r="S20" s="6"/>
      <c r="T20" s="6"/>
      <c r="U20" s="2" t="s">
        <v>84</v>
      </c>
      <c r="V20" s="4">
        <v>1.094535678</v>
      </c>
      <c r="W20" s="6"/>
      <c r="X20" s="6"/>
      <c r="Y20" s="2" t="s">
        <v>84</v>
      </c>
      <c r="Z20" s="4">
        <v>1.096226938</v>
      </c>
      <c r="AA20" s="6"/>
      <c r="AB20" s="6"/>
      <c r="AC20" s="2" t="s">
        <v>84</v>
      </c>
      <c r="AD20" s="4">
        <v>1.096140274</v>
      </c>
      <c r="AE20" s="6"/>
      <c r="AF20" s="6"/>
      <c r="AG20" s="2" t="s">
        <v>84</v>
      </c>
      <c r="AH20" s="4">
        <v>1.096894603</v>
      </c>
      <c r="AI20" s="6"/>
      <c r="AJ20" s="6"/>
      <c r="AK20" s="2" t="s">
        <v>85</v>
      </c>
      <c r="AL20" s="4">
        <v>1.394870625</v>
      </c>
      <c r="AM20" s="6"/>
      <c r="AN20" s="6"/>
      <c r="AO20" s="2" t="s">
        <v>84</v>
      </c>
      <c r="AP20" s="4">
        <v>1.086857327</v>
      </c>
      <c r="AQ20" s="6"/>
      <c r="AR20" s="6"/>
      <c r="AS20" s="2" t="s">
        <v>85</v>
      </c>
      <c r="AT20" s="4">
        <v>1.368202748</v>
      </c>
      <c r="AU20" s="6"/>
      <c r="AV20" s="6"/>
      <c r="AW20" s="6"/>
      <c r="AX20" s="6"/>
      <c r="AY20" s="6"/>
      <c r="AZ20" s="6"/>
      <c r="BA20" s="2" t="s">
        <v>95</v>
      </c>
      <c r="BB20" s="4">
        <v>1.0809729</v>
      </c>
      <c r="BC20" s="6"/>
      <c r="BD20" s="6"/>
      <c r="BE20" s="2" t="s">
        <v>85</v>
      </c>
      <c r="BF20" s="4">
        <v>1.394857362</v>
      </c>
      <c r="BG20" s="6"/>
      <c r="BH20" s="6"/>
      <c r="BI20" s="2" t="s">
        <v>94</v>
      </c>
      <c r="BJ20" s="4">
        <v>1.407094347</v>
      </c>
      <c r="BK20" s="6"/>
      <c r="BL20" s="6"/>
      <c r="BM20" s="2" t="s">
        <v>85</v>
      </c>
      <c r="BN20" s="4">
        <v>1.542322074</v>
      </c>
      <c r="BO20" s="6"/>
      <c r="BP20" s="6"/>
      <c r="BQ20" s="2" t="s">
        <v>85</v>
      </c>
      <c r="BR20" s="4">
        <v>1.536854359</v>
      </c>
      <c r="BS20" s="6"/>
      <c r="BT20" s="6"/>
      <c r="BU20" s="2" t="s">
        <v>85</v>
      </c>
      <c r="BV20" s="4">
        <v>1.567425702</v>
      </c>
      <c r="BW20" s="6"/>
      <c r="BX20" s="6"/>
      <c r="BY20" s="2" t="s">
        <v>84</v>
      </c>
      <c r="BZ20" s="4">
        <v>1.095239102</v>
      </c>
      <c r="CA20" s="6"/>
      <c r="CB20" s="6"/>
    </row>
    <row r="21">
      <c r="A21" s="5"/>
      <c r="B21" s="5"/>
      <c r="C21" s="5"/>
      <c r="D21" s="5"/>
      <c r="E21" s="5"/>
      <c r="F21" s="5"/>
      <c r="G21" s="6"/>
      <c r="H21" s="6"/>
      <c r="I21" s="2" t="s">
        <v>95</v>
      </c>
      <c r="J21" s="4">
        <v>1.094668868</v>
      </c>
      <c r="K21" s="6"/>
      <c r="L21" s="6"/>
      <c r="M21" s="2" t="s">
        <v>95</v>
      </c>
      <c r="N21" s="4">
        <v>1.096295644</v>
      </c>
      <c r="O21" s="6"/>
      <c r="P21" s="6"/>
      <c r="Q21" s="2" t="s">
        <v>84</v>
      </c>
      <c r="R21" s="4">
        <v>1.09460269</v>
      </c>
      <c r="S21" s="6"/>
      <c r="T21" s="6"/>
      <c r="U21" s="2" t="s">
        <v>84</v>
      </c>
      <c r="V21" s="4">
        <v>1.094665081</v>
      </c>
      <c r="W21" s="6"/>
      <c r="X21" s="6"/>
      <c r="Y21" s="2" t="s">
        <v>84</v>
      </c>
      <c r="Z21" s="4">
        <v>1.096245547</v>
      </c>
      <c r="AA21" s="6"/>
      <c r="AB21" s="6"/>
      <c r="AC21" s="2" t="s">
        <v>84</v>
      </c>
      <c r="AD21" s="4">
        <v>1.096029151</v>
      </c>
      <c r="AE21" s="6"/>
      <c r="AF21" s="6"/>
      <c r="AG21" s="2" t="s">
        <v>84</v>
      </c>
      <c r="AH21" s="4">
        <v>1.096912275</v>
      </c>
      <c r="AI21" s="6"/>
      <c r="AJ21" s="6"/>
      <c r="AK21" s="2" t="s">
        <v>85</v>
      </c>
      <c r="AL21" s="4">
        <v>1.394784245</v>
      </c>
      <c r="AM21" s="6"/>
      <c r="AN21" s="6"/>
      <c r="AO21" s="2" t="s">
        <v>85</v>
      </c>
      <c r="AP21" s="4">
        <v>1.391194656</v>
      </c>
      <c r="AQ21" s="6"/>
      <c r="AR21" s="6"/>
      <c r="AS21" s="2" t="s">
        <v>92</v>
      </c>
      <c r="AT21" s="4">
        <v>1.228061957</v>
      </c>
      <c r="AU21" s="6"/>
      <c r="AV21" s="6"/>
      <c r="AW21" s="6"/>
      <c r="AX21" s="6"/>
      <c r="AY21" s="6"/>
      <c r="AZ21" s="6"/>
      <c r="BA21" s="2" t="s">
        <v>95</v>
      </c>
      <c r="BB21" s="4">
        <v>1.08096024</v>
      </c>
      <c r="BC21" s="6"/>
      <c r="BD21" s="6"/>
      <c r="BE21" s="2" t="s">
        <v>85</v>
      </c>
      <c r="BF21" s="4">
        <v>1.394704937</v>
      </c>
      <c r="BG21" s="6"/>
      <c r="BH21" s="6"/>
      <c r="BI21" s="2" t="s">
        <v>85</v>
      </c>
      <c r="BJ21" s="4">
        <v>1.399508249</v>
      </c>
      <c r="BK21" s="6"/>
      <c r="BL21" s="6"/>
      <c r="BM21" s="2" t="s">
        <v>85</v>
      </c>
      <c r="BN21" s="4">
        <v>1.532691</v>
      </c>
      <c r="BO21" s="6"/>
      <c r="BP21" s="6"/>
      <c r="BQ21" s="2" t="s">
        <v>84</v>
      </c>
      <c r="BR21" s="4">
        <v>1.09437213</v>
      </c>
      <c r="BS21" s="6"/>
      <c r="BT21" s="6"/>
      <c r="BU21" s="2" t="s">
        <v>85</v>
      </c>
      <c r="BV21" s="4">
        <v>1.539978685</v>
      </c>
      <c r="BW21" s="6"/>
      <c r="BX21" s="6"/>
      <c r="BY21" s="2" t="s">
        <v>85</v>
      </c>
      <c r="BZ21" s="4">
        <v>1.564130049</v>
      </c>
      <c r="CA21" s="6"/>
      <c r="CB21" s="6"/>
    </row>
    <row r="22">
      <c r="A22" s="5"/>
      <c r="B22" s="5"/>
      <c r="C22" s="5"/>
      <c r="D22" s="5"/>
      <c r="E22" s="5"/>
      <c r="F22" s="5"/>
      <c r="G22" s="6"/>
      <c r="H22" s="6"/>
      <c r="I22" s="6"/>
      <c r="J22" s="6"/>
      <c r="K22" s="6"/>
      <c r="L22" s="6"/>
      <c r="M22" s="2" t="s">
        <v>95</v>
      </c>
      <c r="N22" s="4">
        <v>1.094670001</v>
      </c>
      <c r="O22" s="6"/>
      <c r="P22" s="6"/>
      <c r="Q22" s="2" t="s">
        <v>95</v>
      </c>
      <c r="R22" s="4">
        <v>1.09674838</v>
      </c>
      <c r="S22" s="6"/>
      <c r="T22" s="6"/>
      <c r="U22" s="2" t="s">
        <v>85</v>
      </c>
      <c r="V22" s="4">
        <v>1.520436559</v>
      </c>
      <c r="W22" s="6"/>
      <c r="X22" s="6"/>
      <c r="Y22" s="2" t="s">
        <v>85</v>
      </c>
      <c r="Z22" s="4">
        <v>1.52081103</v>
      </c>
      <c r="AA22" s="6"/>
      <c r="AB22" s="6"/>
      <c r="AC22" s="2" t="s">
        <v>85</v>
      </c>
      <c r="AD22" s="4">
        <v>1.528655233</v>
      </c>
      <c r="AE22" s="6"/>
      <c r="AF22" s="6"/>
      <c r="AG22" s="2" t="s">
        <v>85</v>
      </c>
      <c r="AH22" s="4">
        <v>1.530275635</v>
      </c>
      <c r="AI22" s="6"/>
      <c r="AJ22" s="6"/>
      <c r="AK22" s="2" t="s">
        <v>84</v>
      </c>
      <c r="AL22" s="4">
        <v>1.086066554</v>
      </c>
      <c r="AM22" s="6"/>
      <c r="AN22" s="6"/>
      <c r="AO22" s="2" t="s">
        <v>85</v>
      </c>
      <c r="AP22" s="4">
        <v>1.394851637</v>
      </c>
      <c r="AQ22" s="6"/>
      <c r="AR22" s="6"/>
      <c r="AS22" s="2" t="s">
        <v>94</v>
      </c>
      <c r="AT22" s="4">
        <v>1.420266207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2" t="s">
        <v>84</v>
      </c>
      <c r="BF22" s="4">
        <v>1.086648145</v>
      </c>
      <c r="BG22" s="6"/>
      <c r="BH22" s="6"/>
      <c r="BI22" s="2" t="s">
        <v>85</v>
      </c>
      <c r="BJ22" s="4">
        <v>1.399312299</v>
      </c>
      <c r="BK22" s="6"/>
      <c r="BL22" s="6"/>
      <c r="BM22" s="2" t="s">
        <v>84</v>
      </c>
      <c r="BN22" s="4">
        <v>1.09883193</v>
      </c>
      <c r="BO22" s="6"/>
      <c r="BP22" s="6"/>
      <c r="BQ22" s="2" t="s">
        <v>85</v>
      </c>
      <c r="BR22" s="4">
        <v>1.563344495</v>
      </c>
      <c r="BS22" s="6"/>
      <c r="BT22" s="6"/>
      <c r="BU22" s="2" t="s">
        <v>84</v>
      </c>
      <c r="BV22" s="4">
        <v>1.094469977</v>
      </c>
      <c r="BW22" s="6"/>
      <c r="BX22" s="6"/>
      <c r="BY22" s="2" t="s">
        <v>85</v>
      </c>
      <c r="BZ22" s="4">
        <v>1.57014543</v>
      </c>
      <c r="CA22" s="6"/>
      <c r="CB22" s="6"/>
    </row>
    <row r="23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  <c r="L23" s="6"/>
      <c r="M23" s="2" t="s">
        <v>95</v>
      </c>
      <c r="N23" s="4">
        <v>1.094694629</v>
      </c>
      <c r="O23" s="6"/>
      <c r="P23" s="6"/>
      <c r="Q23" s="2" t="s">
        <v>95</v>
      </c>
      <c r="R23" s="4">
        <v>1.096884761</v>
      </c>
      <c r="S23" s="6"/>
      <c r="T23" s="6"/>
      <c r="U23" s="2" t="s">
        <v>84</v>
      </c>
      <c r="V23" s="4">
        <v>1.094728761</v>
      </c>
      <c r="W23" s="6"/>
      <c r="X23" s="6"/>
      <c r="Y23" s="2" t="s">
        <v>84</v>
      </c>
      <c r="Z23" s="4">
        <v>1.094320264</v>
      </c>
      <c r="AA23" s="6"/>
      <c r="AB23" s="6"/>
      <c r="AC23" s="2" t="s">
        <v>85</v>
      </c>
      <c r="AD23" s="4">
        <v>1.520308357</v>
      </c>
      <c r="AE23" s="6"/>
      <c r="AF23" s="6"/>
      <c r="AG23" s="2" t="s">
        <v>85</v>
      </c>
      <c r="AH23" s="4">
        <v>1.520753675</v>
      </c>
      <c r="AI23" s="6"/>
      <c r="AJ23" s="6"/>
      <c r="AK23" s="2" t="s">
        <v>85</v>
      </c>
      <c r="AL23" s="4">
        <v>1.394971437</v>
      </c>
      <c r="AM23" s="6"/>
      <c r="AN23" s="6"/>
      <c r="AO23" s="2" t="s">
        <v>84</v>
      </c>
      <c r="AP23" s="4">
        <v>1.086690416</v>
      </c>
      <c r="AQ23" s="6"/>
      <c r="AR23" s="6"/>
      <c r="AS23" s="2" t="s">
        <v>85</v>
      </c>
      <c r="AT23" s="4">
        <v>1.427012165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2" t="s">
        <v>92</v>
      </c>
      <c r="BF23" s="4">
        <v>1.361060888</v>
      </c>
      <c r="BG23" s="6"/>
      <c r="BH23" s="6"/>
      <c r="BI23" s="2" t="s">
        <v>85</v>
      </c>
      <c r="BJ23" s="4">
        <v>1.394889189</v>
      </c>
      <c r="BK23" s="6"/>
      <c r="BL23" s="6"/>
      <c r="BM23" s="2" t="s">
        <v>85</v>
      </c>
      <c r="BN23" s="4">
        <v>1.530764365</v>
      </c>
      <c r="BO23" s="6"/>
      <c r="BP23" s="6"/>
      <c r="BQ23" s="2" t="s">
        <v>85</v>
      </c>
      <c r="BR23" s="4">
        <v>1.583489722</v>
      </c>
      <c r="BS23" s="6"/>
      <c r="BT23" s="6"/>
      <c r="BU23" s="2" t="s">
        <v>98</v>
      </c>
      <c r="BV23" s="4">
        <v>1.386347954</v>
      </c>
      <c r="BW23" s="6"/>
      <c r="BX23" s="6"/>
      <c r="BY23" s="2" t="s">
        <v>85</v>
      </c>
      <c r="BZ23" s="4">
        <v>1.548434635</v>
      </c>
      <c r="CA23" s="6"/>
      <c r="CB23" s="6"/>
    </row>
    <row r="24">
      <c r="A24" s="5"/>
      <c r="B24" s="5"/>
      <c r="C24" s="5"/>
      <c r="D24" s="5"/>
      <c r="E24" s="5"/>
      <c r="F24" s="5"/>
      <c r="G24" s="6"/>
      <c r="H24" s="6"/>
      <c r="I24" s="6"/>
      <c r="J24" s="6"/>
      <c r="K24" s="6"/>
      <c r="L24" s="6"/>
      <c r="M24" s="2" t="s">
        <v>95</v>
      </c>
      <c r="N24" s="4">
        <v>1.094589535</v>
      </c>
      <c r="O24" s="6"/>
      <c r="P24" s="6"/>
      <c r="Q24" s="2" t="s">
        <v>95</v>
      </c>
      <c r="R24" s="4">
        <v>1.096266469</v>
      </c>
      <c r="S24" s="6"/>
      <c r="T24" s="6"/>
      <c r="U24" s="2" t="s">
        <v>84</v>
      </c>
      <c r="V24" s="4">
        <v>1.094744623</v>
      </c>
      <c r="W24" s="6"/>
      <c r="X24" s="6"/>
      <c r="Y24" s="2" t="s">
        <v>84</v>
      </c>
      <c r="Z24" s="4">
        <v>1.094565183</v>
      </c>
      <c r="AA24" s="6"/>
      <c r="AB24" s="6"/>
      <c r="AC24" s="2" t="s">
        <v>84</v>
      </c>
      <c r="AD24" s="4">
        <v>1.096279257</v>
      </c>
      <c r="AE24" s="6"/>
      <c r="AF24" s="6"/>
      <c r="AG24" s="2" t="s">
        <v>84</v>
      </c>
      <c r="AH24" s="4">
        <v>1.096601272</v>
      </c>
      <c r="AI24" s="6"/>
      <c r="AJ24" s="6"/>
      <c r="AK24" s="2" t="s">
        <v>85</v>
      </c>
      <c r="AL24" s="4">
        <v>1.394784245</v>
      </c>
      <c r="AM24" s="6"/>
      <c r="AN24" s="6"/>
      <c r="AO24" s="2" t="s">
        <v>85</v>
      </c>
      <c r="AP24" s="4">
        <v>1.394879095</v>
      </c>
      <c r="AQ24" s="6"/>
      <c r="AR24" s="6"/>
      <c r="AS24" s="2" t="s">
        <v>92</v>
      </c>
      <c r="AT24" s="4">
        <v>1.236331598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2" t="s">
        <v>85</v>
      </c>
      <c r="BF24" s="4">
        <v>1.394776104</v>
      </c>
      <c r="BG24" s="6"/>
      <c r="BH24" s="6"/>
      <c r="BI24" s="2" t="s">
        <v>85</v>
      </c>
      <c r="BJ24" s="4">
        <v>1.394795146</v>
      </c>
      <c r="BK24" s="6"/>
      <c r="BL24" s="6"/>
      <c r="BM24" s="2" t="s">
        <v>84</v>
      </c>
      <c r="BN24" s="4">
        <v>1.094481311</v>
      </c>
      <c r="BO24" s="6"/>
      <c r="BP24" s="6"/>
      <c r="BQ24" s="2" t="s">
        <v>85</v>
      </c>
      <c r="BR24" s="4">
        <v>1.560637399</v>
      </c>
      <c r="BS24" s="6"/>
      <c r="BT24" s="6"/>
      <c r="BU24" s="2" t="s">
        <v>85</v>
      </c>
      <c r="BV24" s="4">
        <v>1.567425702</v>
      </c>
      <c r="BW24" s="6"/>
      <c r="BX24" s="6"/>
      <c r="BY24" s="2" t="s">
        <v>84</v>
      </c>
      <c r="BZ24" s="4">
        <v>1.10284629</v>
      </c>
      <c r="CA24" s="6"/>
      <c r="CB24" s="6"/>
    </row>
    <row r="25">
      <c r="A25" s="5"/>
      <c r="B25" s="5"/>
      <c r="C25" s="5"/>
      <c r="D25" s="5"/>
      <c r="E25" s="5"/>
      <c r="F25" s="5"/>
      <c r="G25" s="6"/>
      <c r="H25" s="6"/>
      <c r="I25" s="6"/>
      <c r="J25" s="6"/>
      <c r="K25" s="6"/>
      <c r="L25" s="6"/>
      <c r="M25" s="2" t="s">
        <v>95</v>
      </c>
      <c r="N25" s="4">
        <v>1.094658595</v>
      </c>
      <c r="O25" s="6"/>
      <c r="P25" s="6"/>
      <c r="Q25" s="2" t="s">
        <v>95</v>
      </c>
      <c r="R25" s="4">
        <v>1.096308191</v>
      </c>
      <c r="S25" s="6"/>
      <c r="T25" s="6"/>
      <c r="U25" s="2" t="s">
        <v>84</v>
      </c>
      <c r="V25" s="4">
        <v>1.09439105</v>
      </c>
      <c r="W25" s="6"/>
      <c r="X25" s="6"/>
      <c r="Y25" s="2" t="s">
        <v>84</v>
      </c>
      <c r="Z25" s="4">
        <v>1.094509927</v>
      </c>
      <c r="AA25" s="6"/>
      <c r="AB25" s="6"/>
      <c r="AC25" s="2" t="s">
        <v>84</v>
      </c>
      <c r="AD25" s="4">
        <v>1.096198654</v>
      </c>
      <c r="AE25" s="6"/>
      <c r="AF25" s="6"/>
      <c r="AG25" s="2" t="s">
        <v>84</v>
      </c>
      <c r="AH25" s="4">
        <v>1.096554828</v>
      </c>
      <c r="AI25" s="6"/>
      <c r="AJ25" s="6"/>
      <c r="AK25" s="2" t="s">
        <v>84</v>
      </c>
      <c r="AL25" s="4">
        <v>1.086119395</v>
      </c>
      <c r="AM25" s="6"/>
      <c r="AN25" s="6"/>
      <c r="AO25" s="2" t="s">
        <v>85</v>
      </c>
      <c r="AP25" s="4">
        <v>1.394771196</v>
      </c>
      <c r="AQ25" s="6"/>
      <c r="AR25" s="6"/>
      <c r="AS25" s="2" t="s">
        <v>94</v>
      </c>
      <c r="AT25" s="4">
        <v>1.41734802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2" t="s">
        <v>85</v>
      </c>
      <c r="BF25" s="4">
        <v>1.394704937</v>
      </c>
      <c r="BG25" s="6"/>
      <c r="BH25" s="6"/>
      <c r="BI25" s="2" t="s">
        <v>84</v>
      </c>
      <c r="BJ25" s="4">
        <v>1.08692387</v>
      </c>
      <c r="BK25" s="6"/>
      <c r="BL25" s="6"/>
      <c r="BM25" s="2" t="s">
        <v>84</v>
      </c>
      <c r="BN25" s="4">
        <v>1.094838317</v>
      </c>
      <c r="BO25" s="6"/>
      <c r="BP25" s="6"/>
      <c r="BQ25" s="2" t="s">
        <v>84</v>
      </c>
      <c r="BR25" s="4">
        <v>1.103302139</v>
      </c>
      <c r="BS25" s="6"/>
      <c r="BT25" s="6"/>
      <c r="BU25" s="2" t="s">
        <v>85</v>
      </c>
      <c r="BV25" s="4">
        <v>1.558161163</v>
      </c>
      <c r="BW25" s="6"/>
      <c r="BX25" s="6"/>
      <c r="BY25" s="2" t="s">
        <v>92</v>
      </c>
      <c r="BZ25" s="4">
        <v>1.424329151</v>
      </c>
      <c r="CA25" s="6"/>
      <c r="CB25" s="6"/>
    </row>
    <row r="26">
      <c r="A26" s="5"/>
      <c r="B26" s="5"/>
      <c r="C26" s="5"/>
      <c r="D26" s="5"/>
      <c r="E26" s="5"/>
      <c r="F26" s="5"/>
      <c r="G26" s="6"/>
      <c r="H26" s="6"/>
      <c r="I26" s="6"/>
      <c r="J26" s="6"/>
      <c r="K26" s="6"/>
      <c r="L26" s="6"/>
      <c r="M26" s="2" t="s">
        <v>95</v>
      </c>
      <c r="N26" s="4">
        <v>1.094514034</v>
      </c>
      <c r="O26" s="6"/>
      <c r="P26" s="6"/>
      <c r="Q26" s="2" t="s">
        <v>95</v>
      </c>
      <c r="R26" s="4">
        <v>1.096184806</v>
      </c>
      <c r="S26" s="6"/>
      <c r="T26" s="6"/>
      <c r="U26" s="2" t="s">
        <v>95</v>
      </c>
      <c r="V26" s="4">
        <v>1.096935226</v>
      </c>
      <c r="W26" s="6"/>
      <c r="X26" s="6"/>
      <c r="Y26" s="2" t="s">
        <v>85</v>
      </c>
      <c r="Z26" s="4">
        <v>1.520314283</v>
      </c>
      <c r="AA26" s="6"/>
      <c r="AB26" s="6"/>
      <c r="AC26" s="2" t="s">
        <v>85</v>
      </c>
      <c r="AD26" s="4">
        <v>1.521047981</v>
      </c>
      <c r="AE26" s="6"/>
      <c r="AF26" s="6"/>
      <c r="AG26" s="2" t="s">
        <v>85</v>
      </c>
      <c r="AH26" s="4">
        <v>1.528453679</v>
      </c>
      <c r="AI26" s="6"/>
      <c r="AJ26" s="6"/>
      <c r="AK26" s="2" t="s">
        <v>92</v>
      </c>
      <c r="AL26" s="4">
        <v>1.362034632</v>
      </c>
      <c r="AM26" s="6"/>
      <c r="AN26" s="6"/>
      <c r="AO26" s="2" t="s">
        <v>84</v>
      </c>
      <c r="AP26" s="4">
        <v>1.086040948</v>
      </c>
      <c r="AQ26" s="6"/>
      <c r="AR26" s="6"/>
      <c r="AS26" s="2" t="s">
        <v>94</v>
      </c>
      <c r="AT26" s="4">
        <v>1.441729271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2" t="s">
        <v>92</v>
      </c>
      <c r="BF26" s="4">
        <v>1.22686595</v>
      </c>
      <c r="BG26" s="6"/>
      <c r="BH26" s="6"/>
      <c r="BI26" s="2" t="s">
        <v>85</v>
      </c>
      <c r="BJ26" s="4">
        <v>1.394929038</v>
      </c>
      <c r="BK26" s="6"/>
      <c r="BL26" s="6"/>
      <c r="BM26" s="2" t="s">
        <v>84</v>
      </c>
      <c r="BN26" s="4">
        <v>1.095954128</v>
      </c>
      <c r="BO26" s="6"/>
      <c r="BP26" s="6"/>
      <c r="BQ26" s="2" t="s">
        <v>92</v>
      </c>
      <c r="BR26" s="4">
        <v>1.424470477</v>
      </c>
      <c r="BS26" s="6"/>
      <c r="BT26" s="6"/>
      <c r="BU26" s="2" t="s">
        <v>85</v>
      </c>
      <c r="BV26" s="4">
        <v>1.579805004</v>
      </c>
      <c r="BW26" s="6"/>
      <c r="BX26" s="6"/>
      <c r="BY26" s="2" t="s">
        <v>85</v>
      </c>
      <c r="BZ26" s="4">
        <v>1.549704007</v>
      </c>
      <c r="CA26" s="6"/>
      <c r="CB26" s="6"/>
    </row>
    <row r="27">
      <c r="A27" s="5"/>
      <c r="B27" s="5"/>
      <c r="C27" s="5"/>
      <c r="D27" s="5"/>
      <c r="E27" s="5"/>
      <c r="F27" s="5"/>
      <c r="G27" s="6"/>
      <c r="H27" s="6"/>
      <c r="I27" s="6"/>
      <c r="J27" s="6"/>
      <c r="K27" s="6"/>
      <c r="L27" s="6"/>
      <c r="M27" s="2" t="s">
        <v>95</v>
      </c>
      <c r="N27" s="4">
        <v>1.094717137</v>
      </c>
      <c r="O27" s="6"/>
      <c r="P27" s="6"/>
      <c r="Q27" s="2" t="s">
        <v>95</v>
      </c>
      <c r="R27" s="4">
        <v>1.09622759</v>
      </c>
      <c r="S27" s="6"/>
      <c r="T27" s="6"/>
      <c r="U27" s="2" t="s">
        <v>95</v>
      </c>
      <c r="V27" s="4">
        <v>1.09688472</v>
      </c>
      <c r="W27" s="6"/>
      <c r="X27" s="6"/>
      <c r="Y27" s="2" t="s">
        <v>84</v>
      </c>
      <c r="Z27" s="4">
        <v>1.094733251</v>
      </c>
      <c r="AA27" s="6"/>
      <c r="AB27" s="6"/>
      <c r="AC27" s="2" t="s">
        <v>84</v>
      </c>
      <c r="AD27" s="4">
        <v>1.094711948</v>
      </c>
      <c r="AE27" s="6"/>
      <c r="AF27" s="6"/>
      <c r="AG27" s="2" t="s">
        <v>85</v>
      </c>
      <c r="AH27" s="4">
        <v>1.52035654</v>
      </c>
      <c r="AI27" s="6"/>
      <c r="AJ27" s="6"/>
      <c r="AK27" s="2" t="s">
        <v>92</v>
      </c>
      <c r="AL27" s="4">
        <v>1.227323111</v>
      </c>
      <c r="AM27" s="6"/>
      <c r="AN27" s="6"/>
      <c r="AO27" s="2" t="s">
        <v>85</v>
      </c>
      <c r="AP27" s="4">
        <v>1.394869381</v>
      </c>
      <c r="AQ27" s="6"/>
      <c r="AR27" s="6"/>
      <c r="AS27" s="2" t="s">
        <v>94</v>
      </c>
      <c r="AT27" s="4">
        <v>1.370950896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2" t="s">
        <v>94</v>
      </c>
      <c r="BF27" s="4">
        <v>1.401301798</v>
      </c>
      <c r="BG27" s="6"/>
      <c r="BH27" s="6"/>
      <c r="BI27" s="2" t="s">
        <v>85</v>
      </c>
      <c r="BJ27" s="4">
        <v>1.394861592</v>
      </c>
      <c r="BK27" s="6"/>
      <c r="BL27" s="6"/>
      <c r="BM27" s="2" t="s">
        <v>85</v>
      </c>
      <c r="BN27" s="4">
        <v>1.530602685</v>
      </c>
      <c r="BO27" s="6"/>
      <c r="BP27" s="6"/>
      <c r="BQ27" s="2" t="s">
        <v>85</v>
      </c>
      <c r="BR27" s="4">
        <v>1.553751994</v>
      </c>
      <c r="BS27" s="6"/>
      <c r="BT27" s="6"/>
      <c r="BU27" s="2" t="s">
        <v>92</v>
      </c>
      <c r="BV27" s="4">
        <v>1.423512898</v>
      </c>
      <c r="BW27" s="6"/>
      <c r="BX27" s="6"/>
      <c r="BY27" s="2" t="s">
        <v>85</v>
      </c>
      <c r="BZ27" s="4">
        <v>1.544233965</v>
      </c>
      <c r="CA27" s="6"/>
      <c r="CB27" s="6"/>
    </row>
    <row r="28">
      <c r="A28" s="5"/>
      <c r="B28" s="5"/>
      <c r="C28" s="5"/>
      <c r="D28" s="5"/>
      <c r="E28" s="5"/>
      <c r="F28" s="5"/>
      <c r="G28" s="6"/>
      <c r="H28" s="6"/>
      <c r="I28" s="6"/>
      <c r="J28" s="6"/>
      <c r="K28" s="6"/>
      <c r="L28" s="6"/>
      <c r="M28" s="6"/>
      <c r="N28" s="6"/>
      <c r="O28" s="6"/>
      <c r="P28" s="6"/>
      <c r="Q28" s="2" t="s">
        <v>95</v>
      </c>
      <c r="R28" s="4">
        <v>1.094675116</v>
      </c>
      <c r="S28" s="6"/>
      <c r="T28" s="6"/>
      <c r="U28" s="2" t="s">
        <v>95</v>
      </c>
      <c r="V28" s="4">
        <v>1.096853723</v>
      </c>
      <c r="W28" s="6"/>
      <c r="X28" s="6"/>
      <c r="Y28" s="2" t="s">
        <v>84</v>
      </c>
      <c r="Z28" s="4">
        <v>1.094658102</v>
      </c>
      <c r="AA28" s="6"/>
      <c r="AB28" s="6"/>
      <c r="AC28" s="2" t="s">
        <v>84</v>
      </c>
      <c r="AD28" s="4">
        <v>1.094689938</v>
      </c>
      <c r="AE28" s="6"/>
      <c r="AF28" s="6"/>
      <c r="AG28" s="2" t="s">
        <v>84</v>
      </c>
      <c r="AH28" s="4">
        <v>1.09617567</v>
      </c>
      <c r="AI28" s="6"/>
      <c r="AJ28" s="6"/>
      <c r="AK28" s="2" t="s">
        <v>85</v>
      </c>
      <c r="AL28" s="4">
        <v>1.456314025</v>
      </c>
      <c r="AM28" s="6"/>
      <c r="AN28" s="6"/>
      <c r="AO28" s="2" t="s">
        <v>85</v>
      </c>
      <c r="AP28" s="4">
        <v>1.394739725</v>
      </c>
      <c r="AQ28" s="6"/>
      <c r="AR28" s="6"/>
      <c r="AS28" s="2" t="s">
        <v>94</v>
      </c>
      <c r="AT28" s="4">
        <v>1.317078001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2" t="s">
        <v>85</v>
      </c>
      <c r="BF28" s="4">
        <v>1.508082574</v>
      </c>
      <c r="BG28" s="6"/>
      <c r="BH28" s="6"/>
      <c r="BI28" s="2" t="s">
        <v>84</v>
      </c>
      <c r="BJ28" s="4">
        <v>1.086505863</v>
      </c>
      <c r="BK28" s="6"/>
      <c r="BL28" s="6"/>
      <c r="BM28" s="2" t="s">
        <v>84</v>
      </c>
      <c r="BN28" s="4">
        <v>1.095998914</v>
      </c>
      <c r="BO28" s="6"/>
      <c r="BP28" s="6"/>
      <c r="BQ28" s="2" t="s">
        <v>85</v>
      </c>
      <c r="BR28" s="4">
        <v>1.545991992</v>
      </c>
      <c r="BS28" s="6"/>
      <c r="BT28" s="6"/>
      <c r="BU28" s="2" t="s">
        <v>85</v>
      </c>
      <c r="BV28" s="4">
        <v>1.557430557</v>
      </c>
      <c r="BW28" s="6"/>
      <c r="BX28" s="6"/>
      <c r="BY28" s="2" t="s">
        <v>85</v>
      </c>
      <c r="BZ28" s="4">
        <v>1.49952141</v>
      </c>
      <c r="CA28" s="6"/>
      <c r="CB28" s="6"/>
    </row>
    <row r="29">
      <c r="A29" s="5"/>
      <c r="B29" s="5"/>
      <c r="C29" s="5"/>
      <c r="D29" s="5"/>
      <c r="E29" s="5"/>
      <c r="F29" s="5"/>
      <c r="G29" s="6"/>
      <c r="H29" s="6"/>
      <c r="I29" s="6"/>
      <c r="J29" s="6"/>
      <c r="K29" s="6"/>
      <c r="L29" s="6"/>
      <c r="M29" s="6"/>
      <c r="N29" s="6"/>
      <c r="O29" s="6"/>
      <c r="P29" s="6"/>
      <c r="Q29" s="2" t="s">
        <v>95</v>
      </c>
      <c r="R29" s="4">
        <v>1.094800027</v>
      </c>
      <c r="S29" s="6"/>
      <c r="T29" s="6"/>
      <c r="U29" s="2" t="s">
        <v>95</v>
      </c>
      <c r="V29" s="4">
        <v>1.09687538</v>
      </c>
      <c r="W29" s="6"/>
      <c r="X29" s="6"/>
      <c r="Y29" s="2" t="s">
        <v>84</v>
      </c>
      <c r="Z29" s="4">
        <v>1.094536381</v>
      </c>
      <c r="AA29" s="6"/>
      <c r="AB29" s="6"/>
      <c r="AC29" s="2" t="s">
        <v>84</v>
      </c>
      <c r="AD29" s="4">
        <v>1.094510763</v>
      </c>
      <c r="AE29" s="6"/>
      <c r="AF29" s="6"/>
      <c r="AG29" s="2" t="s">
        <v>84</v>
      </c>
      <c r="AH29" s="4">
        <v>1.096185044</v>
      </c>
      <c r="AI29" s="6"/>
      <c r="AJ29" s="6"/>
      <c r="AK29" s="2" t="s">
        <v>92</v>
      </c>
      <c r="AL29" s="4">
        <v>1.403761985</v>
      </c>
      <c r="AM29" s="6"/>
      <c r="AN29" s="6"/>
      <c r="AO29" s="2" t="s">
        <v>84</v>
      </c>
      <c r="AP29" s="4">
        <v>1.086099029</v>
      </c>
      <c r="AQ29" s="6"/>
      <c r="AR29" s="6"/>
      <c r="AS29" s="2" t="s">
        <v>84</v>
      </c>
      <c r="AT29" s="4">
        <v>1.081636293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2" t="s">
        <v>85</v>
      </c>
      <c r="BF29" s="4">
        <v>1.508082574</v>
      </c>
      <c r="BG29" s="6"/>
      <c r="BH29" s="6"/>
      <c r="BI29" s="2" t="s">
        <v>85</v>
      </c>
      <c r="BJ29" s="4">
        <v>1.394795146</v>
      </c>
      <c r="BK29" s="6"/>
      <c r="BL29" s="6"/>
      <c r="BM29" s="2" t="s">
        <v>84</v>
      </c>
      <c r="BN29" s="4">
        <v>1.094335917</v>
      </c>
      <c r="BO29" s="6"/>
      <c r="BP29" s="6"/>
      <c r="BQ29" s="2" t="s">
        <v>85</v>
      </c>
      <c r="BR29" s="4">
        <v>1.499972353</v>
      </c>
      <c r="BS29" s="6"/>
      <c r="BT29" s="6"/>
      <c r="BU29" s="2" t="s">
        <v>85</v>
      </c>
      <c r="BV29" s="4">
        <v>1.558744668</v>
      </c>
      <c r="BW29" s="6"/>
      <c r="BX29" s="6"/>
      <c r="BY29" s="2" t="s">
        <v>85</v>
      </c>
      <c r="BZ29" s="4">
        <v>1.526832309</v>
      </c>
      <c r="CA29" s="6"/>
      <c r="CB29" s="6"/>
    </row>
    <row r="30">
      <c r="A30" s="5"/>
      <c r="B30" s="5"/>
      <c r="C30" s="5"/>
      <c r="D30" s="5"/>
      <c r="E30" s="5"/>
      <c r="F30" s="5"/>
      <c r="G30" s="6"/>
      <c r="H30" s="6"/>
      <c r="I30" s="6"/>
      <c r="J30" s="6"/>
      <c r="K30" s="6"/>
      <c r="L30" s="6"/>
      <c r="M30" s="6"/>
      <c r="N30" s="6"/>
      <c r="O30" s="6"/>
      <c r="P30" s="6"/>
      <c r="Q30" s="2" t="s">
        <v>95</v>
      </c>
      <c r="R30" s="4">
        <v>1.094526541</v>
      </c>
      <c r="S30" s="6"/>
      <c r="T30" s="6"/>
      <c r="U30" s="2" t="s">
        <v>95</v>
      </c>
      <c r="V30" s="4">
        <v>1.096329134</v>
      </c>
      <c r="W30" s="6"/>
      <c r="X30" s="6"/>
      <c r="Y30" s="2" t="s">
        <v>95</v>
      </c>
      <c r="Z30" s="4">
        <v>1.09660637</v>
      </c>
      <c r="AA30" s="6"/>
      <c r="AB30" s="6"/>
      <c r="AC30" s="2" t="s">
        <v>85</v>
      </c>
      <c r="AD30" s="4">
        <v>1.520308357</v>
      </c>
      <c r="AE30" s="6"/>
      <c r="AF30" s="6"/>
      <c r="AG30" s="2" t="s">
        <v>85</v>
      </c>
      <c r="AH30" s="4">
        <v>1.520753675</v>
      </c>
      <c r="AI30" s="6"/>
      <c r="AJ30" s="6"/>
      <c r="AK30" s="2" t="s">
        <v>92</v>
      </c>
      <c r="AL30" s="4">
        <v>1.22382321</v>
      </c>
      <c r="AM30" s="6"/>
      <c r="AN30" s="6"/>
      <c r="AO30" s="2" t="s">
        <v>85</v>
      </c>
      <c r="AP30" s="4">
        <v>1.394959806</v>
      </c>
      <c r="AQ30" s="6"/>
      <c r="AR30" s="6"/>
      <c r="AS30" s="2" t="s">
        <v>94</v>
      </c>
      <c r="AT30" s="4">
        <v>1.457653556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2" t="s">
        <v>84</v>
      </c>
      <c r="BF30" s="4">
        <v>1.093585264</v>
      </c>
      <c r="BG30" s="6"/>
      <c r="BH30" s="6"/>
      <c r="BI30" s="2" t="s">
        <v>85</v>
      </c>
      <c r="BJ30" s="4">
        <v>1.394867227</v>
      </c>
      <c r="BK30" s="6"/>
      <c r="BL30" s="6"/>
      <c r="BM30" s="2" t="s">
        <v>84</v>
      </c>
      <c r="BN30" s="4">
        <v>1.095108858</v>
      </c>
      <c r="BO30" s="6"/>
      <c r="BP30" s="6"/>
      <c r="BQ30" s="2" t="s">
        <v>85</v>
      </c>
      <c r="BR30" s="4">
        <v>1.542345451</v>
      </c>
      <c r="BS30" s="6"/>
      <c r="BT30" s="6"/>
      <c r="BU30" s="2" t="s">
        <v>85</v>
      </c>
      <c r="BV30" s="4">
        <v>1.50096511</v>
      </c>
      <c r="BW30" s="6"/>
      <c r="BX30" s="6"/>
      <c r="BY30" s="2" t="s">
        <v>85</v>
      </c>
      <c r="BZ30" s="4">
        <v>1.542102519</v>
      </c>
      <c r="CA30" s="6"/>
      <c r="CB30" s="6"/>
    </row>
    <row r="31">
      <c r="A31" s="5"/>
      <c r="B31" s="5"/>
      <c r="C31" s="5"/>
      <c r="D31" s="5"/>
      <c r="E31" s="5"/>
      <c r="F31" s="5"/>
      <c r="G31" s="6"/>
      <c r="H31" s="6"/>
      <c r="I31" s="6"/>
      <c r="J31" s="6"/>
      <c r="K31" s="6"/>
      <c r="L31" s="6"/>
      <c r="M31" s="6"/>
      <c r="N31" s="6"/>
      <c r="O31" s="6"/>
      <c r="P31" s="6"/>
      <c r="Q31" s="2" t="s">
        <v>95</v>
      </c>
      <c r="R31" s="4">
        <v>1.094731396</v>
      </c>
      <c r="S31" s="6"/>
      <c r="T31" s="6"/>
      <c r="U31" s="2" t="s">
        <v>95</v>
      </c>
      <c r="V31" s="4">
        <v>1.096171182</v>
      </c>
      <c r="W31" s="6"/>
      <c r="X31" s="6"/>
      <c r="Y31" s="2" t="s">
        <v>95</v>
      </c>
      <c r="Z31" s="4">
        <v>1.09667601</v>
      </c>
      <c r="AA31" s="6"/>
      <c r="AB31" s="6"/>
      <c r="AC31" s="2" t="s">
        <v>84</v>
      </c>
      <c r="AD31" s="4">
        <v>1.094446678</v>
      </c>
      <c r="AE31" s="6"/>
      <c r="AF31" s="6"/>
      <c r="AG31" s="2" t="s">
        <v>84</v>
      </c>
      <c r="AH31" s="4">
        <v>1.094483504</v>
      </c>
      <c r="AI31" s="6"/>
      <c r="AJ31" s="6"/>
      <c r="AK31" s="2" t="s">
        <v>85</v>
      </c>
      <c r="AL31" s="4">
        <v>1.500043286</v>
      </c>
      <c r="AM31" s="6"/>
      <c r="AN31" s="6"/>
      <c r="AO31" s="2" t="s">
        <v>85</v>
      </c>
      <c r="AP31" s="4">
        <v>1.394945408</v>
      </c>
      <c r="AQ31" s="6"/>
      <c r="AR31" s="6"/>
      <c r="AS31" s="2" t="s">
        <v>84</v>
      </c>
      <c r="AT31" s="4">
        <v>1.094412258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2" t="s">
        <v>84</v>
      </c>
      <c r="BF31" s="4">
        <v>1.093506017</v>
      </c>
      <c r="BG31" s="6"/>
      <c r="BH31" s="6"/>
      <c r="BI31" s="2" t="s">
        <v>84</v>
      </c>
      <c r="BJ31" s="4">
        <v>1.086079237</v>
      </c>
      <c r="BK31" s="6"/>
      <c r="BL31" s="6"/>
      <c r="BM31" s="2" t="s">
        <v>85</v>
      </c>
      <c r="BN31" s="4">
        <v>1.385916725</v>
      </c>
      <c r="BO31" s="6"/>
      <c r="BP31" s="6"/>
      <c r="BQ31" s="2" t="s">
        <v>85</v>
      </c>
      <c r="BR31" s="4">
        <v>1.544946604</v>
      </c>
      <c r="BS31" s="6"/>
      <c r="BT31" s="6"/>
      <c r="BU31" s="2" t="s">
        <v>85</v>
      </c>
      <c r="BV31" s="4">
        <v>1.528455403</v>
      </c>
      <c r="BW31" s="6"/>
      <c r="BX31" s="6"/>
      <c r="BY31" s="2" t="s">
        <v>84</v>
      </c>
      <c r="BZ31" s="4">
        <v>1.094905927</v>
      </c>
      <c r="CA31" s="6"/>
      <c r="CB31" s="6"/>
    </row>
    <row r="32">
      <c r="A32" s="5"/>
      <c r="B32" s="5"/>
      <c r="C32" s="5"/>
      <c r="D32" s="5"/>
      <c r="E32" s="5"/>
      <c r="F32" s="5"/>
      <c r="G32" s="6"/>
      <c r="H32" s="6"/>
      <c r="I32" s="6"/>
      <c r="J32" s="6"/>
      <c r="K32" s="6"/>
      <c r="L32" s="6"/>
      <c r="M32" s="6"/>
      <c r="N32" s="6"/>
      <c r="O32" s="6"/>
      <c r="P32" s="6"/>
      <c r="Q32" s="2" t="s">
        <v>95</v>
      </c>
      <c r="R32" s="4">
        <v>1.094443845</v>
      </c>
      <c r="S32" s="6"/>
      <c r="T32" s="6"/>
      <c r="U32" s="2" t="s">
        <v>95</v>
      </c>
      <c r="V32" s="4">
        <v>1.09625773</v>
      </c>
      <c r="W32" s="6"/>
      <c r="X32" s="6"/>
      <c r="Y32" s="2" t="s">
        <v>95</v>
      </c>
      <c r="Z32" s="4">
        <v>1.097105601</v>
      </c>
      <c r="AA32" s="6"/>
      <c r="AB32" s="6"/>
      <c r="AC32" s="2" t="s">
        <v>84</v>
      </c>
      <c r="AD32" s="4">
        <v>1.094763194</v>
      </c>
      <c r="AE32" s="6"/>
      <c r="AF32" s="6"/>
      <c r="AG32" s="2" t="s">
        <v>84</v>
      </c>
      <c r="AH32" s="4">
        <v>1.094411646</v>
      </c>
      <c r="AI32" s="6"/>
      <c r="AJ32" s="6"/>
      <c r="AK32" s="2" t="s">
        <v>85</v>
      </c>
      <c r="AL32" s="4">
        <v>1.500043286</v>
      </c>
      <c r="AM32" s="6"/>
      <c r="AN32" s="6"/>
      <c r="AO32" s="2" t="s">
        <v>84</v>
      </c>
      <c r="AP32" s="4">
        <v>1.086060643</v>
      </c>
      <c r="AQ32" s="6"/>
      <c r="AR32" s="6"/>
      <c r="AS32" s="2" t="s">
        <v>84</v>
      </c>
      <c r="AT32" s="4">
        <v>1.092852254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2" t="s">
        <v>84</v>
      </c>
      <c r="BF32" s="4">
        <v>1.093675089</v>
      </c>
      <c r="BG32" s="6"/>
      <c r="BH32" s="6"/>
      <c r="BI32" s="2" t="s">
        <v>85</v>
      </c>
      <c r="BJ32" s="4">
        <v>1.394861592</v>
      </c>
      <c r="BK32" s="6"/>
      <c r="BL32" s="6"/>
      <c r="BM32" s="2" t="s">
        <v>85</v>
      </c>
      <c r="BN32" s="4">
        <v>1.394798401</v>
      </c>
      <c r="BO32" s="6"/>
      <c r="BP32" s="6"/>
      <c r="BQ32" s="2" t="s">
        <v>84</v>
      </c>
      <c r="BR32" s="4">
        <v>1.097065472</v>
      </c>
      <c r="BS32" s="6"/>
      <c r="BT32" s="6"/>
      <c r="BU32" s="2" t="s">
        <v>85</v>
      </c>
      <c r="BV32" s="4">
        <v>1.552023405</v>
      </c>
      <c r="BW32" s="6"/>
      <c r="BX32" s="6"/>
      <c r="BY32" s="2" t="s">
        <v>84</v>
      </c>
      <c r="BZ32" s="4">
        <v>1.095898088</v>
      </c>
      <c r="CA32" s="6"/>
      <c r="CB32" s="6"/>
    </row>
    <row r="33">
      <c r="A33" s="5"/>
      <c r="B33" s="5"/>
      <c r="C33" s="5"/>
      <c r="D33" s="5"/>
      <c r="E33" s="5"/>
      <c r="F33" s="5"/>
      <c r="G33" s="6"/>
      <c r="H33" s="6"/>
      <c r="I33" s="6"/>
      <c r="J33" s="6"/>
      <c r="K33" s="6"/>
      <c r="L33" s="6"/>
      <c r="M33" s="6"/>
      <c r="N33" s="6"/>
      <c r="O33" s="6"/>
      <c r="P33" s="6"/>
      <c r="Q33" s="2" t="s">
        <v>95</v>
      </c>
      <c r="R33" s="4">
        <v>1.09460269</v>
      </c>
      <c r="S33" s="6"/>
      <c r="T33" s="6"/>
      <c r="U33" s="2" t="s">
        <v>95</v>
      </c>
      <c r="V33" s="4">
        <v>1.096328464</v>
      </c>
      <c r="W33" s="6"/>
      <c r="X33" s="6"/>
      <c r="Y33" s="2" t="s">
        <v>95</v>
      </c>
      <c r="Z33" s="4">
        <v>1.09720381</v>
      </c>
      <c r="AA33" s="6"/>
      <c r="AB33" s="6"/>
      <c r="AC33" s="2" t="s">
        <v>84</v>
      </c>
      <c r="AD33" s="4">
        <v>1.094586465</v>
      </c>
      <c r="AE33" s="6"/>
      <c r="AF33" s="6"/>
      <c r="AG33" s="2" t="s">
        <v>84</v>
      </c>
      <c r="AH33" s="4">
        <v>1.094474856</v>
      </c>
      <c r="AI33" s="6"/>
      <c r="AJ33" s="6"/>
      <c r="AK33" s="2" t="s">
        <v>84</v>
      </c>
      <c r="AL33" s="4">
        <v>1.092690867</v>
      </c>
      <c r="AM33" s="6"/>
      <c r="AN33" s="6"/>
      <c r="AO33" s="2" t="s">
        <v>85</v>
      </c>
      <c r="AP33" s="4">
        <v>1.394851637</v>
      </c>
      <c r="AQ33" s="6"/>
      <c r="AR33" s="6"/>
      <c r="AS33" s="2" t="s">
        <v>84</v>
      </c>
      <c r="AT33" s="4">
        <v>1.094421541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2" t="s">
        <v>95</v>
      </c>
      <c r="BF33" s="4">
        <v>1.081035823</v>
      </c>
      <c r="BG33" s="6"/>
      <c r="BH33" s="6"/>
      <c r="BI33" s="2" t="s">
        <v>85</v>
      </c>
      <c r="BJ33" s="4">
        <v>1.394867227</v>
      </c>
      <c r="BK33" s="6"/>
      <c r="BL33" s="6"/>
      <c r="BM33" s="2" t="s">
        <v>84</v>
      </c>
      <c r="BN33" s="4">
        <v>1.08612723</v>
      </c>
      <c r="BO33" s="6"/>
      <c r="BP33" s="6"/>
      <c r="BQ33" s="2" t="s">
        <v>84</v>
      </c>
      <c r="BR33" s="4">
        <v>1.096342816</v>
      </c>
      <c r="BS33" s="6"/>
      <c r="BT33" s="6"/>
      <c r="BU33" s="2" t="s">
        <v>84</v>
      </c>
      <c r="BV33" s="4">
        <v>1.096442183</v>
      </c>
      <c r="BW33" s="6"/>
      <c r="BX33" s="6"/>
      <c r="BY33" s="2" t="s">
        <v>85</v>
      </c>
      <c r="BZ33" s="4">
        <v>1.532292808</v>
      </c>
      <c r="CA33" s="6"/>
      <c r="CB33" s="6"/>
    </row>
    <row r="34">
      <c r="A34" s="5"/>
      <c r="B34" s="5"/>
      <c r="C34" s="5"/>
      <c r="D34" s="5"/>
      <c r="E34" s="5"/>
      <c r="F34" s="5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2" t="s">
        <v>95</v>
      </c>
      <c r="V34" s="4">
        <v>1.094643476</v>
      </c>
      <c r="W34" s="6"/>
      <c r="X34" s="6"/>
      <c r="Y34" s="2" t="s">
        <v>95</v>
      </c>
      <c r="Z34" s="4">
        <v>1.096683783</v>
      </c>
      <c r="AA34" s="6"/>
      <c r="AB34" s="6"/>
      <c r="AC34" s="2" t="s">
        <v>95</v>
      </c>
      <c r="AD34" s="4">
        <v>1.096980784</v>
      </c>
      <c r="AE34" s="6"/>
      <c r="AF34" s="6"/>
      <c r="AG34" s="2" t="s">
        <v>85</v>
      </c>
      <c r="AH34" s="4">
        <v>1.52035654</v>
      </c>
      <c r="AI34" s="6"/>
      <c r="AJ34" s="6"/>
      <c r="AK34" s="2" t="s">
        <v>84</v>
      </c>
      <c r="AL34" s="4">
        <v>1.093758703</v>
      </c>
      <c r="AM34" s="6"/>
      <c r="AN34" s="6"/>
      <c r="AO34" s="2" t="s">
        <v>85</v>
      </c>
      <c r="AP34" s="4">
        <v>1.394913962</v>
      </c>
      <c r="AQ34" s="6"/>
      <c r="AR34" s="6"/>
      <c r="AS34" s="2" t="s">
        <v>94</v>
      </c>
      <c r="AT34" s="4">
        <v>1.443422229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2" t="s">
        <v>95</v>
      </c>
      <c r="BF34" s="4">
        <v>1.087008201</v>
      </c>
      <c r="BG34" s="6"/>
      <c r="BH34" s="6"/>
      <c r="BI34" s="2" t="s">
        <v>84</v>
      </c>
      <c r="BJ34" s="4">
        <v>1.0860648</v>
      </c>
      <c r="BK34" s="6"/>
      <c r="BL34" s="6"/>
      <c r="BM34" s="2" t="s">
        <v>85</v>
      </c>
      <c r="BN34" s="4">
        <v>1.386050843</v>
      </c>
      <c r="BO34" s="6"/>
      <c r="BP34" s="6"/>
      <c r="BQ34" s="2" t="s">
        <v>85</v>
      </c>
      <c r="BR34" s="4">
        <v>1.583489722</v>
      </c>
      <c r="BS34" s="6"/>
      <c r="BT34" s="6"/>
      <c r="BU34" s="2" t="s">
        <v>84</v>
      </c>
      <c r="BV34" s="4">
        <v>1.095164303</v>
      </c>
      <c r="BW34" s="6"/>
      <c r="BX34" s="6"/>
      <c r="BY34" s="2" t="s">
        <v>85</v>
      </c>
      <c r="BZ34" s="4">
        <v>1.524494047</v>
      </c>
      <c r="CA34" s="6"/>
      <c r="CB34" s="6"/>
    </row>
    <row r="35">
      <c r="A35" s="5"/>
      <c r="B35" s="5"/>
      <c r="C35" s="5"/>
      <c r="D35" s="5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2" t="s">
        <v>95</v>
      </c>
      <c r="V35" s="4">
        <v>1.094535678</v>
      </c>
      <c r="W35" s="6"/>
      <c r="X35" s="6"/>
      <c r="Y35" s="2" t="s">
        <v>95</v>
      </c>
      <c r="Z35" s="4">
        <v>1.096845304</v>
      </c>
      <c r="AA35" s="6"/>
      <c r="AB35" s="6"/>
      <c r="AC35" s="2" t="s">
        <v>95</v>
      </c>
      <c r="AD35" s="4">
        <v>1.097273917</v>
      </c>
      <c r="AE35" s="6"/>
      <c r="AF35" s="6"/>
      <c r="AG35" s="2" t="s">
        <v>84</v>
      </c>
      <c r="AH35" s="4">
        <v>1.094423652</v>
      </c>
      <c r="AI35" s="6"/>
      <c r="AJ35" s="6"/>
      <c r="AK35" s="2" t="s">
        <v>84</v>
      </c>
      <c r="AL35" s="4">
        <v>1.092761209</v>
      </c>
      <c r="AM35" s="6"/>
      <c r="AN35" s="6"/>
      <c r="AO35" s="2" t="s">
        <v>84</v>
      </c>
      <c r="AP35" s="4">
        <v>1.086127548</v>
      </c>
      <c r="AQ35" s="6"/>
      <c r="AR35" s="6"/>
      <c r="AS35" s="2" t="s">
        <v>84</v>
      </c>
      <c r="AT35" s="4">
        <v>1.093032282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2" t="s">
        <v>97</v>
      </c>
      <c r="BF35" s="4">
        <v>1.017940322</v>
      </c>
      <c r="BG35" s="6"/>
      <c r="BH35" s="6"/>
      <c r="BI35" s="2" t="s">
        <v>99</v>
      </c>
      <c r="BJ35" s="4">
        <v>1.728159347</v>
      </c>
      <c r="BK35" s="6"/>
      <c r="BL35" s="6"/>
      <c r="BM35" s="2" t="s">
        <v>85</v>
      </c>
      <c r="BN35" s="4">
        <v>1.394908029</v>
      </c>
      <c r="BO35" s="6"/>
      <c r="BP35" s="6"/>
      <c r="BQ35" s="2" t="s">
        <v>85</v>
      </c>
      <c r="BR35" s="4">
        <v>1.534875728</v>
      </c>
      <c r="BS35" s="6"/>
      <c r="BT35" s="6"/>
      <c r="BU35" s="2" t="s">
        <v>85</v>
      </c>
      <c r="BV35" s="4">
        <v>1.542622303</v>
      </c>
      <c r="BW35" s="6"/>
      <c r="BX35" s="6"/>
      <c r="BY35" s="2" t="s">
        <v>84</v>
      </c>
      <c r="BZ35" s="4">
        <v>1.095426113</v>
      </c>
      <c r="CA35" s="6"/>
      <c r="CB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2" t="s">
        <v>95</v>
      </c>
      <c r="V36" s="4">
        <v>1.094665081</v>
      </c>
      <c r="W36" s="6"/>
      <c r="X36" s="6"/>
      <c r="Y36" s="2" t="s">
        <v>95</v>
      </c>
      <c r="Z36" s="4">
        <v>1.096461299</v>
      </c>
      <c r="AA36" s="6"/>
      <c r="AB36" s="6"/>
      <c r="AC36" s="2" t="s">
        <v>95</v>
      </c>
      <c r="AD36" s="4">
        <v>1.096628301</v>
      </c>
      <c r="AE36" s="6"/>
      <c r="AF36" s="6"/>
      <c r="AG36" s="2" t="s">
        <v>84</v>
      </c>
      <c r="AH36" s="4">
        <v>1.094628855</v>
      </c>
      <c r="AI36" s="6"/>
      <c r="AJ36" s="6"/>
      <c r="AK36" s="2" t="s">
        <v>95</v>
      </c>
      <c r="AL36" s="4">
        <v>1.086633011</v>
      </c>
      <c r="AM36" s="6"/>
      <c r="AN36" s="6"/>
      <c r="AO36" s="2" t="s">
        <v>85</v>
      </c>
      <c r="AP36" s="4">
        <v>1.394771196</v>
      </c>
      <c r="AQ36" s="6"/>
      <c r="AR36" s="6"/>
      <c r="AS36" s="2" t="s">
        <v>84</v>
      </c>
      <c r="AT36" s="4">
        <v>1.092743108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2" t="s">
        <v>95</v>
      </c>
      <c r="BF36" s="4">
        <v>1.086942726</v>
      </c>
      <c r="BG36" s="6"/>
      <c r="BH36" s="6"/>
      <c r="BI36" s="2" t="s">
        <v>85</v>
      </c>
      <c r="BJ36" s="4">
        <v>1.399508249</v>
      </c>
      <c r="BK36" s="6"/>
      <c r="BL36" s="6"/>
      <c r="BM36" s="2" t="s">
        <v>84</v>
      </c>
      <c r="BN36" s="4">
        <v>1.086021519</v>
      </c>
      <c r="BO36" s="6"/>
      <c r="BP36" s="6"/>
      <c r="BQ36" s="2" t="s">
        <v>85</v>
      </c>
      <c r="BR36" s="4">
        <v>1.55661758</v>
      </c>
      <c r="BS36" s="6"/>
      <c r="BT36" s="6"/>
      <c r="BU36" s="2" t="s">
        <v>85</v>
      </c>
      <c r="BV36" s="4">
        <v>1.54597566</v>
      </c>
      <c r="BW36" s="6"/>
      <c r="BX36" s="6"/>
      <c r="BY36" s="2" t="s">
        <v>84</v>
      </c>
      <c r="BZ36" s="4">
        <v>1.095274139</v>
      </c>
      <c r="CA36" s="6"/>
      <c r="CB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 t="s">
        <v>95</v>
      </c>
      <c r="V37" s="4">
        <v>1.094728761</v>
      </c>
      <c r="W37" s="6"/>
      <c r="X37" s="6"/>
      <c r="Y37" s="2" t="s">
        <v>95</v>
      </c>
      <c r="Z37" s="4">
        <v>1.096493183</v>
      </c>
      <c r="AA37" s="6"/>
      <c r="AB37" s="6"/>
      <c r="AC37" s="2" t="s">
        <v>95</v>
      </c>
      <c r="AD37" s="4">
        <v>1.096719372</v>
      </c>
      <c r="AE37" s="6"/>
      <c r="AF37" s="6"/>
      <c r="AG37" s="2" t="s">
        <v>84</v>
      </c>
      <c r="AH37" s="4">
        <v>1.094599753</v>
      </c>
      <c r="AI37" s="6"/>
      <c r="AJ37" s="6"/>
      <c r="AK37" s="2" t="s">
        <v>95</v>
      </c>
      <c r="AL37" s="4">
        <v>1.086825363</v>
      </c>
      <c r="AM37" s="6"/>
      <c r="AN37" s="6"/>
      <c r="AO37" s="2" t="s">
        <v>85</v>
      </c>
      <c r="AP37" s="4">
        <v>1.394945408</v>
      </c>
      <c r="AQ37" s="6"/>
      <c r="AR37" s="6"/>
      <c r="AS37" s="2" t="s">
        <v>84</v>
      </c>
      <c r="AT37" s="4">
        <v>1.092767519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2" t="s">
        <v>95</v>
      </c>
      <c r="BF37" s="4">
        <v>1.086648145</v>
      </c>
      <c r="BG37" s="6"/>
      <c r="BH37" s="6"/>
      <c r="BI37" s="2" t="s">
        <v>85</v>
      </c>
      <c r="BJ37" s="4">
        <v>1.394862154</v>
      </c>
      <c r="BK37" s="6"/>
      <c r="BL37" s="6"/>
      <c r="BM37" s="2" t="s">
        <v>85</v>
      </c>
      <c r="BN37" s="4">
        <v>1.394958487</v>
      </c>
      <c r="BO37" s="6"/>
      <c r="BP37" s="6"/>
      <c r="BQ37" s="2" t="s">
        <v>85</v>
      </c>
      <c r="BR37" s="4">
        <v>1.545484911</v>
      </c>
      <c r="BS37" s="6"/>
      <c r="BT37" s="6"/>
      <c r="BU37" s="2" t="s">
        <v>84</v>
      </c>
      <c r="BV37" s="4">
        <v>1.094910307</v>
      </c>
      <c r="BW37" s="6"/>
      <c r="BX37" s="6"/>
      <c r="BY37" s="2" t="s">
        <v>85</v>
      </c>
      <c r="BZ37" s="4">
        <v>1.544233965</v>
      </c>
      <c r="CA37" s="6"/>
      <c r="CB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2" t="s">
        <v>95</v>
      </c>
      <c r="V38" s="4">
        <v>1.094744623</v>
      </c>
      <c r="W38" s="6"/>
      <c r="X38" s="6"/>
      <c r="Y38" s="2" t="s">
        <v>95</v>
      </c>
      <c r="Z38" s="4">
        <v>1.096226938</v>
      </c>
      <c r="AA38" s="6"/>
      <c r="AB38" s="6"/>
      <c r="AC38" s="2" t="s">
        <v>95</v>
      </c>
      <c r="AD38" s="4">
        <v>1.097143436</v>
      </c>
      <c r="AE38" s="6"/>
      <c r="AF38" s="6"/>
      <c r="AG38" s="2" t="s">
        <v>95</v>
      </c>
      <c r="AH38" s="4">
        <v>1.096806464</v>
      </c>
      <c r="AI38" s="6"/>
      <c r="AJ38" s="6"/>
      <c r="AK38" s="2" t="s">
        <v>95</v>
      </c>
      <c r="AL38" s="4">
        <v>1.086066554</v>
      </c>
      <c r="AM38" s="6"/>
      <c r="AN38" s="6"/>
      <c r="AO38" s="2" t="s">
        <v>84</v>
      </c>
      <c r="AP38" s="4">
        <v>1.086077796</v>
      </c>
      <c r="AQ38" s="6"/>
      <c r="AR38" s="6"/>
      <c r="AS38" s="2" t="s">
        <v>94</v>
      </c>
      <c r="AT38" s="4">
        <v>1.459291554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2" t="s">
        <v>95</v>
      </c>
      <c r="BF38" s="4">
        <v>1.093585264</v>
      </c>
      <c r="BG38" s="6"/>
      <c r="BH38" s="6"/>
      <c r="BI38" s="2" t="s">
        <v>99</v>
      </c>
      <c r="BJ38" s="4">
        <v>1.728160589</v>
      </c>
      <c r="BK38" s="6"/>
      <c r="BL38" s="6"/>
      <c r="BM38" s="2" t="s">
        <v>85</v>
      </c>
      <c r="BN38" s="4">
        <v>1.394798401</v>
      </c>
      <c r="BO38" s="6"/>
      <c r="BP38" s="6"/>
      <c r="BQ38" s="2" t="s">
        <v>92</v>
      </c>
      <c r="BR38" s="4">
        <v>1.420604776</v>
      </c>
      <c r="BS38" s="6"/>
      <c r="BT38" s="6"/>
      <c r="BU38" s="2" t="s">
        <v>84</v>
      </c>
      <c r="BV38" s="4">
        <v>1.093830412</v>
      </c>
      <c r="BW38" s="6"/>
      <c r="BX38" s="6"/>
      <c r="BY38" s="2" t="s">
        <v>85</v>
      </c>
      <c r="BZ38" s="4">
        <v>1.542102519</v>
      </c>
      <c r="CA38" s="6"/>
      <c r="CB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2" t="s">
        <v>95</v>
      </c>
      <c r="V39" s="4">
        <v>1.09439105</v>
      </c>
      <c r="W39" s="6"/>
      <c r="X39" s="6"/>
      <c r="Y39" s="2" t="s">
        <v>95</v>
      </c>
      <c r="Z39" s="4">
        <v>1.096245547</v>
      </c>
      <c r="AA39" s="6"/>
      <c r="AB39" s="6"/>
      <c r="AC39" s="2" t="s">
        <v>95</v>
      </c>
      <c r="AD39" s="4">
        <v>1.097067605</v>
      </c>
      <c r="AE39" s="6"/>
      <c r="AF39" s="6"/>
      <c r="AG39" s="2" t="s">
        <v>95</v>
      </c>
      <c r="AH39" s="4">
        <v>1.096867184</v>
      </c>
      <c r="AI39" s="6"/>
      <c r="AJ39" s="6"/>
      <c r="AK39" s="2" t="s">
        <v>95</v>
      </c>
      <c r="AL39" s="4">
        <v>1.086119395</v>
      </c>
      <c r="AM39" s="6"/>
      <c r="AN39" s="6"/>
      <c r="AO39" s="2" t="s">
        <v>85</v>
      </c>
      <c r="AP39" s="4">
        <v>1.394739725</v>
      </c>
      <c r="AQ39" s="6"/>
      <c r="AR39" s="6"/>
      <c r="AS39" s="2" t="s">
        <v>84</v>
      </c>
      <c r="AT39" s="4">
        <v>1.092185534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2" t="s">
        <v>95</v>
      </c>
      <c r="BF39" s="4">
        <v>1.093506017</v>
      </c>
      <c r="BG39" s="6"/>
      <c r="BH39" s="6"/>
      <c r="BI39" s="2" t="s">
        <v>85</v>
      </c>
      <c r="BJ39" s="4">
        <v>1.399312299</v>
      </c>
      <c r="BK39" s="6"/>
      <c r="BL39" s="6"/>
      <c r="BM39" s="2" t="s">
        <v>84</v>
      </c>
      <c r="BN39" s="4">
        <v>1.086753247</v>
      </c>
      <c r="BO39" s="6"/>
      <c r="BP39" s="6"/>
      <c r="BQ39" s="2" t="s">
        <v>85</v>
      </c>
      <c r="BR39" s="4">
        <v>1.560637399</v>
      </c>
      <c r="BS39" s="6"/>
      <c r="BT39" s="6"/>
      <c r="BU39" s="2" t="s">
        <v>85</v>
      </c>
      <c r="BV39" s="4">
        <v>1.558744668</v>
      </c>
      <c r="BW39" s="6"/>
      <c r="BX39" s="6"/>
      <c r="BY39" s="2" t="s">
        <v>84</v>
      </c>
      <c r="BZ39" s="4">
        <v>1.095048424</v>
      </c>
      <c r="CA39" s="6"/>
      <c r="CB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2" t="s">
        <v>95</v>
      </c>
      <c r="Z40" s="4">
        <v>1.094320264</v>
      </c>
      <c r="AA40" s="6"/>
      <c r="AB40" s="6"/>
      <c r="AC40" s="2" t="s">
        <v>95</v>
      </c>
      <c r="AD40" s="4">
        <v>1.096863424</v>
      </c>
      <c r="AE40" s="6"/>
      <c r="AF40" s="6"/>
      <c r="AG40" s="2" t="s">
        <v>95</v>
      </c>
      <c r="AH40" s="4">
        <v>1.09656687</v>
      </c>
      <c r="AI40" s="6"/>
      <c r="AJ40" s="6"/>
      <c r="AK40" s="2" t="s">
        <v>95</v>
      </c>
      <c r="AL40" s="4">
        <v>1.092690867</v>
      </c>
      <c r="AM40" s="6"/>
      <c r="AN40" s="6"/>
      <c r="AO40" s="2" t="s">
        <v>85</v>
      </c>
      <c r="AP40" s="4">
        <v>1.394913962</v>
      </c>
      <c r="AQ40" s="6"/>
      <c r="AR40" s="6"/>
      <c r="AS40" s="2" t="s">
        <v>84</v>
      </c>
      <c r="AT40" s="4">
        <v>1.094704531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2" t="s">
        <v>95</v>
      </c>
      <c r="BF40" s="4">
        <v>1.093675089</v>
      </c>
      <c r="BG40" s="6"/>
      <c r="BH40" s="6"/>
      <c r="BI40" s="2" t="s">
        <v>85</v>
      </c>
      <c r="BJ40" s="4">
        <v>1.394865162</v>
      </c>
      <c r="BK40" s="6"/>
      <c r="BL40" s="6"/>
      <c r="BM40" s="2" t="s">
        <v>85</v>
      </c>
      <c r="BN40" s="4">
        <v>1.394874812</v>
      </c>
      <c r="BO40" s="6"/>
      <c r="BP40" s="6"/>
      <c r="BQ40" s="2" t="s">
        <v>85</v>
      </c>
      <c r="BR40" s="4">
        <v>1.544946604</v>
      </c>
      <c r="BS40" s="6"/>
      <c r="BT40" s="6"/>
      <c r="BU40" s="2" t="s">
        <v>85</v>
      </c>
      <c r="BV40" s="4">
        <v>1.552023405</v>
      </c>
      <c r="BW40" s="6"/>
      <c r="BX40" s="6"/>
      <c r="BY40" s="2" t="s">
        <v>84</v>
      </c>
      <c r="BZ40" s="4">
        <v>1.09625767</v>
      </c>
      <c r="CA40" s="6"/>
      <c r="CB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2" t="s">
        <v>95</v>
      </c>
      <c r="Z41" s="4">
        <v>1.094565183</v>
      </c>
      <c r="AA41" s="6"/>
      <c r="AB41" s="6"/>
      <c r="AC41" s="2" t="s">
        <v>95</v>
      </c>
      <c r="AD41" s="4">
        <v>1.09687223</v>
      </c>
      <c r="AE41" s="6"/>
      <c r="AF41" s="6"/>
      <c r="AG41" s="2" t="s">
        <v>95</v>
      </c>
      <c r="AH41" s="4">
        <v>1.09667492</v>
      </c>
      <c r="AI41" s="6"/>
      <c r="AJ41" s="6"/>
      <c r="AK41" s="2" t="s">
        <v>95</v>
      </c>
      <c r="AL41" s="4">
        <v>1.093758703</v>
      </c>
      <c r="AM41" s="6"/>
      <c r="AN41" s="6"/>
      <c r="AO41" s="2" t="s">
        <v>84</v>
      </c>
      <c r="AP41" s="4">
        <v>1.086148728</v>
      </c>
      <c r="AQ41" s="6"/>
      <c r="AR41" s="6"/>
      <c r="AS41" s="2" t="s">
        <v>84</v>
      </c>
      <c r="AT41" s="4">
        <v>1.094689294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2" t="s">
        <v>96</v>
      </c>
      <c r="BF41" s="4">
        <v>0.972715303</v>
      </c>
      <c r="BG41" s="6"/>
      <c r="BH41" s="6"/>
      <c r="BI41" s="2" t="s">
        <v>92</v>
      </c>
      <c r="BJ41" s="4">
        <v>1.359177696</v>
      </c>
      <c r="BK41" s="6"/>
      <c r="BL41" s="6"/>
      <c r="BM41" s="2" t="s">
        <v>85</v>
      </c>
      <c r="BN41" s="4">
        <v>1.394908029</v>
      </c>
      <c r="BO41" s="6"/>
      <c r="BP41" s="6"/>
      <c r="BQ41" s="2" t="s">
        <v>84</v>
      </c>
      <c r="BR41" s="4">
        <v>1.095810212</v>
      </c>
      <c r="BS41" s="6"/>
      <c r="BT41" s="6"/>
      <c r="BU41" s="2" t="s">
        <v>85</v>
      </c>
      <c r="BV41" s="4">
        <v>1.525947709</v>
      </c>
      <c r="BW41" s="6"/>
      <c r="BX41" s="6"/>
      <c r="BY41" s="2" t="s">
        <v>85</v>
      </c>
      <c r="BZ41" s="4">
        <v>1.57014543</v>
      </c>
      <c r="CA41" s="6"/>
      <c r="CB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2" t="s">
        <v>95</v>
      </c>
      <c r="Z42" s="4">
        <v>1.094509927</v>
      </c>
      <c r="AA42" s="6"/>
      <c r="AB42" s="6"/>
      <c r="AC42" s="2" t="s">
        <v>95</v>
      </c>
      <c r="AD42" s="4">
        <v>1.096140274</v>
      </c>
      <c r="AE42" s="6"/>
      <c r="AF42" s="6"/>
      <c r="AG42" s="2" t="s">
        <v>95</v>
      </c>
      <c r="AH42" s="4">
        <v>1.096803547</v>
      </c>
      <c r="AI42" s="6"/>
      <c r="AJ42" s="6"/>
      <c r="AK42" s="2" t="s">
        <v>95</v>
      </c>
      <c r="AL42" s="4">
        <v>1.092761209</v>
      </c>
      <c r="AM42" s="6"/>
      <c r="AN42" s="6"/>
      <c r="AO42" s="2" t="s">
        <v>95</v>
      </c>
      <c r="AP42" s="4">
        <v>1.087022704</v>
      </c>
      <c r="AQ42" s="6"/>
      <c r="AR42" s="6"/>
      <c r="AS42" s="2" t="s">
        <v>95</v>
      </c>
      <c r="AT42" s="4">
        <v>1.081636293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2" t="s">
        <v>92</v>
      </c>
      <c r="BJ42" s="4">
        <v>1.223374767</v>
      </c>
      <c r="BK42" s="6"/>
      <c r="BL42" s="6"/>
      <c r="BM42" s="2" t="s">
        <v>84</v>
      </c>
      <c r="BN42" s="4">
        <v>1.08682765</v>
      </c>
      <c r="BO42" s="6"/>
      <c r="BP42" s="6"/>
      <c r="BQ42" s="2" t="s">
        <v>85</v>
      </c>
      <c r="BR42" s="4">
        <v>1.526408943</v>
      </c>
      <c r="BS42" s="6"/>
      <c r="BT42" s="6"/>
      <c r="BU42" s="2" t="s">
        <v>84</v>
      </c>
      <c r="BV42" s="4">
        <v>1.097751534</v>
      </c>
      <c r="BW42" s="6"/>
      <c r="BX42" s="6"/>
      <c r="BY42" s="2" t="s">
        <v>85</v>
      </c>
      <c r="BZ42" s="4">
        <v>1.535534125</v>
      </c>
      <c r="CA42" s="6"/>
      <c r="CB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2" t="s">
        <v>95</v>
      </c>
      <c r="Z43" s="4">
        <v>1.094733251</v>
      </c>
      <c r="AA43" s="6"/>
      <c r="AB43" s="6"/>
      <c r="AC43" s="2" t="s">
        <v>95</v>
      </c>
      <c r="AD43" s="4">
        <v>1.096029151</v>
      </c>
      <c r="AE43" s="6"/>
      <c r="AF43" s="6"/>
      <c r="AG43" s="2" t="s">
        <v>95</v>
      </c>
      <c r="AH43" s="4">
        <v>1.096799166</v>
      </c>
      <c r="AI43" s="6"/>
      <c r="AJ43" s="6"/>
      <c r="AK43" s="2" t="s">
        <v>96</v>
      </c>
      <c r="AL43" s="4">
        <v>0.981013038</v>
      </c>
      <c r="AM43" s="6"/>
      <c r="AN43" s="6"/>
      <c r="AO43" s="2" t="s">
        <v>95</v>
      </c>
      <c r="AP43" s="4">
        <v>1.086662823</v>
      </c>
      <c r="AQ43" s="6"/>
      <c r="AR43" s="6"/>
      <c r="AS43" s="2" t="s">
        <v>95</v>
      </c>
      <c r="AT43" s="4">
        <v>1.094412258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2" t="s">
        <v>85</v>
      </c>
      <c r="BJ43" s="4">
        <v>1.514958488</v>
      </c>
      <c r="BK43" s="6"/>
      <c r="BL43" s="6"/>
      <c r="BM43" s="2" t="s">
        <v>85</v>
      </c>
      <c r="BN43" s="4">
        <v>1.542322074</v>
      </c>
      <c r="BO43" s="6"/>
      <c r="BP43" s="6"/>
      <c r="BQ43" s="2" t="s">
        <v>85</v>
      </c>
      <c r="BR43" s="4">
        <v>1.543075406</v>
      </c>
      <c r="BS43" s="6"/>
      <c r="BT43" s="6"/>
      <c r="BU43" s="2" t="s">
        <v>92</v>
      </c>
      <c r="BV43" s="4">
        <v>1.419035849</v>
      </c>
      <c r="BW43" s="6"/>
      <c r="BX43" s="6"/>
      <c r="BY43" s="2" t="s">
        <v>85</v>
      </c>
      <c r="BZ43" s="4">
        <v>1.545432179</v>
      </c>
      <c r="CA43" s="6"/>
      <c r="CB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2" t="s">
        <v>95</v>
      </c>
      <c r="Z44" s="4">
        <v>1.094658102</v>
      </c>
      <c r="AA44" s="6"/>
      <c r="AB44" s="6"/>
      <c r="AC44" s="2" t="s">
        <v>95</v>
      </c>
      <c r="AD44" s="4">
        <v>1.096279257</v>
      </c>
      <c r="AE44" s="6"/>
      <c r="AF44" s="6"/>
      <c r="AG44" s="2" t="s">
        <v>95</v>
      </c>
      <c r="AH44" s="4">
        <v>1.097067382</v>
      </c>
      <c r="AI44" s="6"/>
      <c r="AJ44" s="6"/>
      <c r="AK44" s="6"/>
      <c r="AL44" s="6"/>
      <c r="AM44" s="6"/>
      <c r="AN44" s="6"/>
      <c r="AO44" s="2" t="s">
        <v>95</v>
      </c>
      <c r="AP44" s="4">
        <v>1.086857327</v>
      </c>
      <c r="AQ44" s="6"/>
      <c r="AR44" s="6"/>
      <c r="AS44" s="2" t="s">
        <v>95</v>
      </c>
      <c r="AT44" s="4">
        <v>1.092852254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2" t="s">
        <v>85</v>
      </c>
      <c r="BJ44" s="4">
        <v>1.394862154</v>
      </c>
      <c r="BK44" s="6"/>
      <c r="BL44" s="6"/>
      <c r="BM44" s="2" t="s">
        <v>84</v>
      </c>
      <c r="BN44" s="4">
        <v>1.095544162</v>
      </c>
      <c r="BO44" s="6"/>
      <c r="BP44" s="6"/>
      <c r="BQ44" s="2" t="s">
        <v>84</v>
      </c>
      <c r="BR44" s="4">
        <v>1.094761234</v>
      </c>
      <c r="BS44" s="6"/>
      <c r="BT44" s="6"/>
      <c r="BU44" s="2" t="s">
        <v>85</v>
      </c>
      <c r="BV44" s="4">
        <v>1.558161163</v>
      </c>
      <c r="BW44" s="6"/>
      <c r="BX44" s="6"/>
      <c r="BY44" s="2" t="s">
        <v>85</v>
      </c>
      <c r="BZ44" s="4">
        <v>1.523607249</v>
      </c>
      <c r="CA44" s="6"/>
      <c r="CB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2" t="s">
        <v>95</v>
      </c>
      <c r="Z45" s="4">
        <v>1.094536381</v>
      </c>
      <c r="AA45" s="6"/>
      <c r="AB45" s="6"/>
      <c r="AC45" s="2" t="s">
        <v>95</v>
      </c>
      <c r="AD45" s="4">
        <v>1.096198654</v>
      </c>
      <c r="AE45" s="6"/>
      <c r="AF45" s="6"/>
      <c r="AG45" s="2" t="s">
        <v>95</v>
      </c>
      <c r="AH45" s="4">
        <v>1.09714083</v>
      </c>
      <c r="AI45" s="6"/>
      <c r="AJ45" s="6"/>
      <c r="AK45" s="6"/>
      <c r="AL45" s="6"/>
      <c r="AM45" s="6"/>
      <c r="AN45" s="6"/>
      <c r="AO45" s="2" t="s">
        <v>95</v>
      </c>
      <c r="AP45" s="4">
        <v>1.086690416</v>
      </c>
      <c r="AQ45" s="6"/>
      <c r="AR45" s="6"/>
      <c r="AS45" s="2" t="s">
        <v>95</v>
      </c>
      <c r="AT45" s="4">
        <v>1.094421541</v>
      </c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2" t="s">
        <v>85</v>
      </c>
      <c r="BJ45" s="4">
        <v>1.394831137</v>
      </c>
      <c r="BK45" s="6"/>
      <c r="BL45" s="6"/>
      <c r="BM45" s="2" t="s">
        <v>84</v>
      </c>
      <c r="BN45" s="4">
        <v>1.095779325</v>
      </c>
      <c r="BO45" s="6"/>
      <c r="BP45" s="6"/>
      <c r="BQ45" s="2" t="s">
        <v>84</v>
      </c>
      <c r="BR45" s="4">
        <v>1.096000187</v>
      </c>
      <c r="BS45" s="6"/>
      <c r="BT45" s="6"/>
      <c r="BU45" s="2" t="s">
        <v>85</v>
      </c>
      <c r="BV45" s="4">
        <v>1.54597566</v>
      </c>
      <c r="BW45" s="6"/>
      <c r="BX45" s="6"/>
      <c r="BY45" s="2" t="s">
        <v>85</v>
      </c>
      <c r="BZ45" s="4">
        <v>1.535952564</v>
      </c>
      <c r="CA45" s="6"/>
      <c r="CB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2" t="s">
        <v>95</v>
      </c>
      <c r="AD46" s="4">
        <v>1.094711948</v>
      </c>
      <c r="AE46" s="6"/>
      <c r="AF46" s="6"/>
      <c r="AG46" s="2" t="s">
        <v>95</v>
      </c>
      <c r="AH46" s="4">
        <v>1.096894603</v>
      </c>
      <c r="AI46" s="6"/>
      <c r="AJ46" s="6"/>
      <c r="AK46" s="6"/>
      <c r="AL46" s="6"/>
      <c r="AM46" s="6"/>
      <c r="AN46" s="6"/>
      <c r="AO46" s="2" t="s">
        <v>95</v>
      </c>
      <c r="AP46" s="4">
        <v>1.086040948</v>
      </c>
      <c r="AQ46" s="6"/>
      <c r="AR46" s="6"/>
      <c r="AS46" s="2" t="s">
        <v>95</v>
      </c>
      <c r="AT46" s="4">
        <v>1.093032282</v>
      </c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2" t="s">
        <v>84</v>
      </c>
      <c r="BJ46" s="4">
        <v>1.087102323</v>
      </c>
      <c r="BK46" s="6"/>
      <c r="BL46" s="6"/>
      <c r="BM46" s="2" t="s">
        <v>84</v>
      </c>
      <c r="BN46" s="4">
        <v>1.095415182</v>
      </c>
      <c r="BO46" s="6"/>
      <c r="BP46" s="6"/>
      <c r="BQ46" s="2" t="s">
        <v>85</v>
      </c>
      <c r="BR46" s="4">
        <v>1.545991992</v>
      </c>
      <c r="BS46" s="6"/>
      <c r="BT46" s="6"/>
      <c r="BU46" s="2" t="s">
        <v>84</v>
      </c>
      <c r="BV46" s="4">
        <v>1.097161588</v>
      </c>
      <c r="BW46" s="6"/>
      <c r="BX46" s="6"/>
      <c r="BY46" s="2" t="s">
        <v>85</v>
      </c>
      <c r="BZ46" s="4">
        <v>1.524445388</v>
      </c>
      <c r="CA46" s="6"/>
      <c r="CB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2" t="s">
        <v>95</v>
      </c>
      <c r="AD47" s="4">
        <v>1.094689938</v>
      </c>
      <c r="AE47" s="6"/>
      <c r="AF47" s="6"/>
      <c r="AG47" s="2" t="s">
        <v>95</v>
      </c>
      <c r="AH47" s="4">
        <v>1.096912275</v>
      </c>
      <c r="AI47" s="6"/>
      <c r="AJ47" s="6"/>
      <c r="AK47" s="6"/>
      <c r="AL47" s="6"/>
      <c r="AM47" s="6"/>
      <c r="AN47" s="6"/>
      <c r="AO47" s="2" t="s">
        <v>95</v>
      </c>
      <c r="AP47" s="4">
        <v>1.086099029</v>
      </c>
      <c r="AQ47" s="6"/>
      <c r="AR47" s="6"/>
      <c r="AS47" s="2" t="s">
        <v>95</v>
      </c>
      <c r="AT47" s="4">
        <v>1.092743108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2" t="s">
        <v>85</v>
      </c>
      <c r="BJ47" s="4">
        <v>1.394865162</v>
      </c>
      <c r="BK47" s="6"/>
      <c r="BL47" s="6"/>
      <c r="BM47" s="2" t="s">
        <v>92</v>
      </c>
      <c r="BN47" s="4">
        <v>1.359387991</v>
      </c>
      <c r="BO47" s="6"/>
      <c r="BP47" s="6"/>
      <c r="BQ47" s="2" t="s">
        <v>85</v>
      </c>
      <c r="BR47" s="4">
        <v>1.543075406</v>
      </c>
      <c r="BS47" s="6"/>
      <c r="BT47" s="6"/>
      <c r="BU47" s="2" t="s">
        <v>85</v>
      </c>
      <c r="BV47" s="4">
        <v>1.579805004</v>
      </c>
      <c r="BW47" s="6"/>
      <c r="BX47" s="6"/>
      <c r="BY47" s="2" t="s">
        <v>84</v>
      </c>
      <c r="BZ47" s="4">
        <v>1.096255486</v>
      </c>
      <c r="CA47" s="6"/>
      <c r="CB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2" t="s">
        <v>95</v>
      </c>
      <c r="AD48" s="4">
        <v>1.094510763</v>
      </c>
      <c r="AE48" s="6"/>
      <c r="AF48" s="6"/>
      <c r="AG48" s="2" t="s">
        <v>95</v>
      </c>
      <c r="AH48" s="4">
        <v>1.096601272</v>
      </c>
      <c r="AI48" s="6"/>
      <c r="AJ48" s="6"/>
      <c r="AK48" s="6"/>
      <c r="AL48" s="6"/>
      <c r="AM48" s="6"/>
      <c r="AN48" s="6"/>
      <c r="AO48" s="2" t="s">
        <v>95</v>
      </c>
      <c r="AP48" s="4">
        <v>1.086060643</v>
      </c>
      <c r="AQ48" s="6"/>
      <c r="AR48" s="6"/>
      <c r="AS48" s="2" t="s">
        <v>95</v>
      </c>
      <c r="AT48" s="4">
        <v>1.092767519</v>
      </c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2" t="s">
        <v>85</v>
      </c>
      <c r="BJ48" s="4">
        <v>1.394880475</v>
      </c>
      <c r="BK48" s="6"/>
      <c r="BL48" s="6"/>
      <c r="BM48" s="2" t="s">
        <v>92</v>
      </c>
      <c r="BN48" s="4">
        <v>1.22418856</v>
      </c>
      <c r="BO48" s="6"/>
      <c r="BP48" s="6"/>
      <c r="BQ48" s="2" t="s">
        <v>84</v>
      </c>
      <c r="BR48" s="4">
        <v>1.094927399</v>
      </c>
      <c r="BS48" s="6"/>
      <c r="BT48" s="6"/>
      <c r="BU48" s="2" t="s">
        <v>85</v>
      </c>
      <c r="BV48" s="4">
        <v>1.533369864</v>
      </c>
      <c r="BW48" s="6"/>
      <c r="BX48" s="6"/>
      <c r="BY48" s="2" t="s">
        <v>84</v>
      </c>
      <c r="BZ48" s="4">
        <v>1.098043137</v>
      </c>
      <c r="CA48" s="6"/>
      <c r="CB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2" t="s">
        <v>95</v>
      </c>
      <c r="AD49" s="4">
        <v>1.094446678</v>
      </c>
      <c r="AE49" s="6"/>
      <c r="AF49" s="6"/>
      <c r="AG49" s="2" t="s">
        <v>95</v>
      </c>
      <c r="AH49" s="4">
        <v>1.096554828</v>
      </c>
      <c r="AI49" s="6"/>
      <c r="AJ49" s="6"/>
      <c r="AK49" s="6"/>
      <c r="AL49" s="6"/>
      <c r="AM49" s="6"/>
      <c r="AN49" s="6"/>
      <c r="AO49" s="2" t="s">
        <v>95</v>
      </c>
      <c r="AP49" s="4">
        <v>1.086127548</v>
      </c>
      <c r="AQ49" s="6"/>
      <c r="AR49" s="6"/>
      <c r="AS49" s="2" t="s">
        <v>95</v>
      </c>
      <c r="AT49" s="4">
        <v>1.092185534</v>
      </c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2" t="s">
        <v>84</v>
      </c>
      <c r="BJ49" s="4">
        <v>1.087072054</v>
      </c>
      <c r="BK49" s="6"/>
      <c r="BL49" s="6"/>
      <c r="BM49" s="2" t="s">
        <v>85</v>
      </c>
      <c r="BN49" s="4">
        <v>1.532691</v>
      </c>
      <c r="BO49" s="6"/>
      <c r="BP49" s="6"/>
      <c r="BQ49" s="2" t="s">
        <v>84</v>
      </c>
      <c r="BR49" s="4">
        <v>1.096135667</v>
      </c>
      <c r="BS49" s="6"/>
      <c r="BT49" s="6"/>
      <c r="BU49" s="2" t="s">
        <v>85</v>
      </c>
      <c r="BV49" s="4">
        <v>1.546052628</v>
      </c>
      <c r="BW49" s="6"/>
      <c r="BX49" s="6"/>
      <c r="BY49" s="2" t="s">
        <v>92</v>
      </c>
      <c r="BZ49" s="4">
        <v>1.229430148</v>
      </c>
      <c r="CA49" s="6"/>
      <c r="CB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2" t="s">
        <v>95</v>
      </c>
      <c r="AD50" s="4">
        <v>1.094763194</v>
      </c>
      <c r="AE50" s="6"/>
      <c r="AF50" s="6"/>
      <c r="AG50" s="2" t="s">
        <v>95</v>
      </c>
      <c r="AH50" s="4">
        <v>1.09617567</v>
      </c>
      <c r="AI50" s="6"/>
      <c r="AJ50" s="6"/>
      <c r="AK50" s="6"/>
      <c r="AL50" s="6"/>
      <c r="AM50" s="6"/>
      <c r="AN50" s="6"/>
      <c r="AO50" s="2" t="s">
        <v>95</v>
      </c>
      <c r="AP50" s="4">
        <v>1.086077796</v>
      </c>
      <c r="AQ50" s="6"/>
      <c r="AR50" s="6"/>
      <c r="AS50" s="2" t="s">
        <v>95</v>
      </c>
      <c r="AT50" s="4">
        <v>1.094704531</v>
      </c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2" t="s">
        <v>85</v>
      </c>
      <c r="BJ50" s="4">
        <v>1.394831137</v>
      </c>
      <c r="BK50" s="6"/>
      <c r="BL50" s="6"/>
      <c r="BM50" s="2" t="s">
        <v>95</v>
      </c>
      <c r="BN50" s="4">
        <v>1.096981613</v>
      </c>
      <c r="BO50" s="6"/>
      <c r="BP50" s="6"/>
      <c r="BQ50" s="2" t="s">
        <v>85</v>
      </c>
      <c r="BR50" s="4">
        <v>1.536854359</v>
      </c>
      <c r="BS50" s="6"/>
      <c r="BT50" s="6"/>
      <c r="BU50" s="2" t="s">
        <v>85</v>
      </c>
      <c r="BV50" s="4">
        <v>1.522180321</v>
      </c>
      <c r="BW50" s="6"/>
      <c r="BX50" s="6"/>
      <c r="BY50" s="2" t="s">
        <v>85</v>
      </c>
      <c r="BZ50" s="4">
        <v>1.548434635</v>
      </c>
      <c r="CA50" s="6"/>
      <c r="C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2" t="s">
        <v>95</v>
      </c>
      <c r="AD51" s="4">
        <v>1.094586465</v>
      </c>
      <c r="AE51" s="6"/>
      <c r="AF51" s="6"/>
      <c r="AG51" s="2" t="s">
        <v>95</v>
      </c>
      <c r="AH51" s="4">
        <v>1.096185044</v>
      </c>
      <c r="AI51" s="6"/>
      <c r="AJ51" s="6"/>
      <c r="AK51" s="6"/>
      <c r="AL51" s="6"/>
      <c r="AM51" s="6"/>
      <c r="AN51" s="6"/>
      <c r="AO51" s="2" t="s">
        <v>95</v>
      </c>
      <c r="AP51" s="4">
        <v>1.086148728</v>
      </c>
      <c r="AQ51" s="6"/>
      <c r="AR51" s="6"/>
      <c r="AS51" s="2" t="s">
        <v>95</v>
      </c>
      <c r="AT51" s="4">
        <v>1.094689294</v>
      </c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2" t="s">
        <v>85</v>
      </c>
      <c r="BJ51" s="4">
        <v>1.394880475</v>
      </c>
      <c r="BK51" s="6"/>
      <c r="BL51" s="6"/>
      <c r="BM51" s="2" t="s">
        <v>95</v>
      </c>
      <c r="BN51" s="4">
        <v>1.098229457</v>
      </c>
      <c r="BO51" s="6"/>
      <c r="BP51" s="6"/>
      <c r="BQ51" s="2" t="s">
        <v>85</v>
      </c>
      <c r="BR51" s="4">
        <v>1.521170395</v>
      </c>
      <c r="BS51" s="6"/>
      <c r="BT51" s="6"/>
      <c r="BU51" s="2" t="s">
        <v>85</v>
      </c>
      <c r="BV51" s="4">
        <v>1.539978685</v>
      </c>
      <c r="BW51" s="6"/>
      <c r="BX51" s="6"/>
      <c r="BY51" s="2" t="s">
        <v>85</v>
      </c>
      <c r="BZ51" s="4">
        <v>1.524494047</v>
      </c>
      <c r="CA51" s="6"/>
      <c r="C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2" t="s">
        <v>95</v>
      </c>
      <c r="AH52" s="4">
        <v>1.094483504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2" t="s">
        <v>84</v>
      </c>
      <c r="BJ52" s="4">
        <v>1.086054405</v>
      </c>
      <c r="BK52" s="6"/>
      <c r="BL52" s="6"/>
      <c r="BM52" s="2" t="s">
        <v>95</v>
      </c>
      <c r="BN52" s="4">
        <v>1.098374881</v>
      </c>
      <c r="BO52" s="6"/>
      <c r="BP52" s="6"/>
      <c r="BQ52" s="2" t="s">
        <v>84</v>
      </c>
      <c r="BR52" s="4">
        <v>1.096245324</v>
      </c>
      <c r="BS52" s="6"/>
      <c r="BT52" s="6"/>
      <c r="BU52" s="2" t="s">
        <v>85</v>
      </c>
      <c r="BV52" s="4">
        <v>1.524054258</v>
      </c>
      <c r="BW52" s="6"/>
      <c r="BX52" s="6"/>
      <c r="BY52" s="2" t="s">
        <v>85</v>
      </c>
      <c r="BZ52" s="4">
        <v>1.554008086</v>
      </c>
      <c r="CA52" s="6"/>
      <c r="C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2" t="s">
        <v>95</v>
      </c>
      <c r="AH53" s="4">
        <v>1.094411646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2" t="s">
        <v>95</v>
      </c>
      <c r="BJ53" s="4">
        <v>1.095027844</v>
      </c>
      <c r="BK53" s="6"/>
      <c r="BL53" s="6"/>
      <c r="BM53" s="2" t="s">
        <v>95</v>
      </c>
      <c r="BN53" s="4">
        <v>1.09883193</v>
      </c>
      <c r="BO53" s="6"/>
      <c r="BP53" s="6"/>
      <c r="BQ53" s="2" t="s">
        <v>84</v>
      </c>
      <c r="BR53" s="4">
        <v>1.097982322</v>
      </c>
      <c r="BS53" s="6"/>
      <c r="BT53" s="6"/>
      <c r="BU53" s="2" t="s">
        <v>84</v>
      </c>
      <c r="BV53" s="4">
        <v>1.096379743</v>
      </c>
      <c r="BW53" s="6"/>
      <c r="BX53" s="6"/>
      <c r="BY53" s="2" t="s">
        <v>84</v>
      </c>
      <c r="BZ53" s="4">
        <v>1.09444549</v>
      </c>
      <c r="CA53" s="6"/>
      <c r="C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2" t="s">
        <v>95</v>
      </c>
      <c r="AH54" s="4">
        <v>1.094474856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2" t="s">
        <v>95</v>
      </c>
      <c r="BJ54" s="4">
        <v>1.09830066</v>
      </c>
      <c r="BK54" s="6"/>
      <c r="BL54" s="6"/>
      <c r="BM54" s="2" t="s">
        <v>95</v>
      </c>
      <c r="BN54" s="4">
        <v>1.094481311</v>
      </c>
      <c r="BO54" s="6"/>
      <c r="BP54" s="6"/>
      <c r="BQ54" s="2" t="s">
        <v>85</v>
      </c>
      <c r="BR54" s="4">
        <v>1.553834167</v>
      </c>
      <c r="BS54" s="6"/>
      <c r="BT54" s="6"/>
      <c r="BU54" s="2" t="s">
        <v>84</v>
      </c>
      <c r="BV54" s="4">
        <v>1.098210535</v>
      </c>
      <c r="BW54" s="6"/>
      <c r="BX54" s="6"/>
      <c r="BY54" s="2" t="s">
        <v>84</v>
      </c>
      <c r="BZ54" s="4">
        <v>1.09443575</v>
      </c>
      <c r="CA54" s="6"/>
      <c r="C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2" t="s">
        <v>95</v>
      </c>
      <c r="AH55" s="4">
        <v>1.094423652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2" t="s">
        <v>97</v>
      </c>
      <c r="BJ55" s="4">
        <v>1.01506022</v>
      </c>
      <c r="BK55" s="6"/>
      <c r="BL55" s="6"/>
      <c r="BM55" s="2" t="s">
        <v>95</v>
      </c>
      <c r="BN55" s="4">
        <v>1.094838317</v>
      </c>
      <c r="BO55" s="6"/>
      <c r="BP55" s="6"/>
      <c r="BQ55" s="2" t="s">
        <v>84</v>
      </c>
      <c r="BR55" s="4">
        <v>1.094946085</v>
      </c>
      <c r="BS55" s="6"/>
      <c r="BT55" s="6"/>
      <c r="BU55" s="2" t="s">
        <v>85</v>
      </c>
      <c r="BV55" s="4">
        <v>1.554081854</v>
      </c>
      <c r="BW55" s="6"/>
      <c r="BX55" s="6"/>
      <c r="BY55" s="2" t="s">
        <v>84</v>
      </c>
      <c r="BZ55" s="4">
        <v>1.093951978</v>
      </c>
      <c r="CA55" s="6"/>
      <c r="C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2" t="s">
        <v>95</v>
      </c>
      <c r="AH56" s="4">
        <v>1.094628855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2" t="s">
        <v>95</v>
      </c>
      <c r="BJ56" s="4">
        <v>1.08692387</v>
      </c>
      <c r="BK56" s="6"/>
      <c r="BL56" s="6"/>
      <c r="BM56" s="2" t="s">
        <v>95</v>
      </c>
      <c r="BN56" s="4">
        <v>1.095954128</v>
      </c>
      <c r="BO56" s="6"/>
      <c r="BP56" s="6"/>
      <c r="BQ56" s="2" t="s">
        <v>84</v>
      </c>
      <c r="BR56" s="4">
        <v>1.092078445</v>
      </c>
      <c r="BS56" s="6"/>
      <c r="BT56" s="6"/>
      <c r="BU56" s="2" t="s">
        <v>84</v>
      </c>
      <c r="BV56" s="4">
        <v>1.094496606</v>
      </c>
      <c r="BW56" s="6"/>
      <c r="BX56" s="6"/>
      <c r="BY56" s="2" t="s">
        <v>85</v>
      </c>
      <c r="BZ56" s="4">
        <v>1.524445388</v>
      </c>
      <c r="CA56" s="6"/>
      <c r="C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2" t="s">
        <v>95</v>
      </c>
      <c r="AH57" s="4">
        <v>1.094599753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2" t="s">
        <v>95</v>
      </c>
      <c r="BJ57" s="4">
        <v>1.086505863</v>
      </c>
      <c r="BK57" s="6"/>
      <c r="BL57" s="6"/>
      <c r="BM57" s="2" t="s">
        <v>95</v>
      </c>
      <c r="BN57" s="4">
        <v>1.095998914</v>
      </c>
      <c r="BO57" s="6"/>
      <c r="BP57" s="6"/>
      <c r="BQ57" s="2" t="s">
        <v>84</v>
      </c>
      <c r="BR57" s="4">
        <v>1.095255157</v>
      </c>
      <c r="BS57" s="6"/>
      <c r="BT57" s="6"/>
      <c r="BU57" s="2" t="s">
        <v>84</v>
      </c>
      <c r="BV57" s="4">
        <v>1.095010219</v>
      </c>
      <c r="BW57" s="6"/>
      <c r="BX57" s="6"/>
      <c r="BY57" s="2" t="s">
        <v>85</v>
      </c>
      <c r="BZ57" s="4">
        <v>1.508415815</v>
      </c>
      <c r="CA57" s="6"/>
      <c r="C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2" t="s">
        <v>95</v>
      </c>
      <c r="BJ58" s="4">
        <v>1.086079237</v>
      </c>
      <c r="BK58" s="6"/>
      <c r="BL58" s="6"/>
      <c r="BM58" s="2" t="s">
        <v>95</v>
      </c>
      <c r="BN58" s="4">
        <v>1.094335917</v>
      </c>
      <c r="BO58" s="6"/>
      <c r="BP58" s="6"/>
      <c r="BQ58" s="2" t="s">
        <v>85</v>
      </c>
      <c r="BR58" s="4">
        <v>1.534875728</v>
      </c>
      <c r="BS58" s="6"/>
      <c r="BT58" s="6"/>
      <c r="BU58" s="2" t="s">
        <v>84</v>
      </c>
      <c r="BV58" s="4">
        <v>1.091634179</v>
      </c>
      <c r="BW58" s="6"/>
      <c r="BX58" s="6"/>
      <c r="BY58" s="2" t="s">
        <v>84</v>
      </c>
      <c r="BZ58" s="4">
        <v>1.095907834</v>
      </c>
      <c r="CA58" s="6"/>
      <c r="C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2" t="s">
        <v>95</v>
      </c>
      <c r="BJ59" s="4">
        <v>1.0860648</v>
      </c>
      <c r="BK59" s="6"/>
      <c r="BL59" s="6"/>
      <c r="BM59" s="2" t="s">
        <v>95</v>
      </c>
      <c r="BN59" s="4">
        <v>1.095108858</v>
      </c>
      <c r="BO59" s="6"/>
      <c r="BP59" s="6"/>
      <c r="BQ59" s="2" t="s">
        <v>85</v>
      </c>
      <c r="BR59" s="4">
        <v>1.509095458</v>
      </c>
      <c r="BS59" s="6"/>
      <c r="BT59" s="6"/>
      <c r="BU59" s="2" t="s">
        <v>85</v>
      </c>
      <c r="BV59" s="4">
        <v>1.524054258</v>
      </c>
      <c r="BW59" s="6"/>
      <c r="BX59" s="6"/>
      <c r="BY59" s="2" t="s">
        <v>84</v>
      </c>
      <c r="BZ59" s="4">
        <v>1.096877204</v>
      </c>
      <c r="CA59" s="6"/>
      <c r="C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2" t="s">
        <v>95</v>
      </c>
      <c r="BJ60" s="4">
        <v>1.087102323</v>
      </c>
      <c r="BK60" s="6"/>
      <c r="BL60" s="6"/>
      <c r="BM60" s="2" t="s">
        <v>95</v>
      </c>
      <c r="BN60" s="4">
        <v>1.08612723</v>
      </c>
      <c r="BO60" s="6"/>
      <c r="BP60" s="6"/>
      <c r="BQ60" s="2" t="s">
        <v>85</v>
      </c>
      <c r="BR60" s="4">
        <v>1.343519844</v>
      </c>
      <c r="BS60" s="6"/>
      <c r="BT60" s="6"/>
      <c r="BU60" s="2" t="s">
        <v>85</v>
      </c>
      <c r="BV60" s="4">
        <v>1.507224691</v>
      </c>
      <c r="BW60" s="6"/>
      <c r="BX60" s="6"/>
      <c r="BY60" s="2" t="s">
        <v>85</v>
      </c>
      <c r="BZ60" s="4">
        <v>1.535534125</v>
      </c>
      <c r="CA60" s="6"/>
      <c r="C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2" t="s">
        <v>95</v>
      </c>
      <c r="BJ61" s="4">
        <v>1.087072054</v>
      </c>
      <c r="BK61" s="6"/>
      <c r="BL61" s="6"/>
      <c r="BM61" s="2" t="s">
        <v>95</v>
      </c>
      <c r="BN61" s="4">
        <v>1.086021519</v>
      </c>
      <c r="BO61" s="6"/>
      <c r="BP61" s="6"/>
      <c r="BQ61" s="2" t="s">
        <v>85</v>
      </c>
      <c r="BR61" s="4">
        <v>1.521170395</v>
      </c>
      <c r="BS61" s="6"/>
      <c r="BT61" s="6"/>
      <c r="BU61" s="2" t="s">
        <v>84</v>
      </c>
      <c r="BV61" s="4">
        <v>1.096102755</v>
      </c>
      <c r="BW61" s="6"/>
      <c r="BX61" s="6"/>
      <c r="BY61" s="2" t="s">
        <v>85</v>
      </c>
      <c r="BZ61" s="4">
        <v>1.508415815</v>
      </c>
      <c r="CA61" s="6"/>
      <c r="C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2" t="s">
        <v>95</v>
      </c>
      <c r="BJ62" s="4">
        <v>1.086054405</v>
      </c>
      <c r="BK62" s="6"/>
      <c r="BL62" s="6"/>
      <c r="BM62" s="2" t="s">
        <v>95</v>
      </c>
      <c r="BN62" s="4">
        <v>1.086753247</v>
      </c>
      <c r="BO62" s="6"/>
      <c r="BP62" s="6"/>
      <c r="BQ62" s="2" t="s">
        <v>85</v>
      </c>
      <c r="BR62" s="4">
        <v>1.509095458</v>
      </c>
      <c r="BS62" s="6"/>
      <c r="BT62" s="6"/>
      <c r="BU62" s="2" t="s">
        <v>84</v>
      </c>
      <c r="BV62" s="4">
        <v>1.096815873</v>
      </c>
      <c r="BW62" s="6"/>
      <c r="BX62" s="6"/>
      <c r="BY62" s="2" t="s">
        <v>85</v>
      </c>
      <c r="BZ62" s="4">
        <v>1.342645247</v>
      </c>
      <c r="CA62" s="6"/>
      <c r="C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2" t="s">
        <v>96</v>
      </c>
      <c r="BJ63" s="4">
        <v>0.981007538</v>
      </c>
      <c r="BK63" s="6"/>
      <c r="BL63" s="6"/>
      <c r="BM63" s="2" t="s">
        <v>95</v>
      </c>
      <c r="BN63" s="4">
        <v>1.08682765</v>
      </c>
      <c r="BO63" s="6"/>
      <c r="BP63" s="6"/>
      <c r="BQ63" s="2" t="s">
        <v>84</v>
      </c>
      <c r="BR63" s="4">
        <v>1.09691254</v>
      </c>
      <c r="BS63" s="6"/>
      <c r="BT63" s="6"/>
      <c r="BU63" s="2" t="s">
        <v>85</v>
      </c>
      <c r="BV63" s="4">
        <v>1.533369864</v>
      </c>
      <c r="BW63" s="6"/>
      <c r="BX63" s="6"/>
      <c r="BY63" s="2" t="s">
        <v>92</v>
      </c>
      <c r="BZ63" s="4">
        <v>1.230072006</v>
      </c>
      <c r="CA63" s="6"/>
      <c r="C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2" t="s">
        <v>95</v>
      </c>
      <c r="BN64" s="4">
        <v>1.095544162</v>
      </c>
      <c r="BO64" s="6"/>
      <c r="BP64" s="6"/>
      <c r="BQ64" s="2" t="s">
        <v>84</v>
      </c>
      <c r="BR64" s="4">
        <v>1.096974143</v>
      </c>
      <c r="BS64" s="6"/>
      <c r="BT64" s="6"/>
      <c r="BU64" s="2" t="s">
        <v>85</v>
      </c>
      <c r="BV64" s="4">
        <v>1.507224691</v>
      </c>
      <c r="BW64" s="6"/>
      <c r="BX64" s="6"/>
      <c r="BY64" s="2" t="s">
        <v>85</v>
      </c>
      <c r="BZ64" s="4">
        <v>1.49952141</v>
      </c>
      <c r="CA64" s="6"/>
      <c r="C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2" t="s">
        <v>95</v>
      </c>
      <c r="BN65" s="4">
        <v>1.095779325</v>
      </c>
      <c r="BO65" s="6"/>
      <c r="BP65" s="6"/>
      <c r="BQ65" s="2" t="s">
        <v>85</v>
      </c>
      <c r="BR65" s="4">
        <v>1.55661758</v>
      </c>
      <c r="BS65" s="6"/>
      <c r="BT65" s="6"/>
      <c r="BU65" s="2" t="s">
        <v>85</v>
      </c>
      <c r="BV65" s="4">
        <v>1.342287335</v>
      </c>
      <c r="BW65" s="6"/>
      <c r="BX65" s="6"/>
      <c r="BY65" s="2" t="s">
        <v>85</v>
      </c>
      <c r="BZ65" s="4">
        <v>1.513809965</v>
      </c>
      <c r="CA65" s="6"/>
      <c r="C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2" t="s">
        <v>95</v>
      </c>
      <c r="BN66" s="4">
        <v>1.095415182</v>
      </c>
      <c r="BO66" s="6"/>
      <c r="BP66" s="6"/>
      <c r="BQ66" s="2" t="s">
        <v>85</v>
      </c>
      <c r="BR66" s="4">
        <v>1.520314339</v>
      </c>
      <c r="BS66" s="6"/>
      <c r="BT66" s="6"/>
      <c r="BU66" s="2" t="s">
        <v>92</v>
      </c>
      <c r="BV66" s="4">
        <v>1.230090249</v>
      </c>
      <c r="BW66" s="6"/>
      <c r="BX66" s="6"/>
      <c r="BY66" s="2" t="s">
        <v>85</v>
      </c>
      <c r="BZ66" s="4">
        <v>1.545432179</v>
      </c>
      <c r="CA66" s="6"/>
      <c r="C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2" t="s">
        <v>96</v>
      </c>
      <c r="BN67" s="4">
        <v>0.98093432</v>
      </c>
      <c r="BO67" s="6"/>
      <c r="BP67" s="6"/>
      <c r="BQ67" s="2" t="s">
        <v>84</v>
      </c>
      <c r="BR67" s="4">
        <v>1.099180144</v>
      </c>
      <c r="BS67" s="6"/>
      <c r="BT67" s="6"/>
      <c r="BU67" s="2" t="s">
        <v>85</v>
      </c>
      <c r="BV67" s="4">
        <v>1.50096511</v>
      </c>
      <c r="BW67" s="6"/>
      <c r="BX67" s="6"/>
      <c r="BY67" s="2" t="s">
        <v>84</v>
      </c>
      <c r="BZ67" s="4">
        <v>1.09418317</v>
      </c>
      <c r="CA67" s="6"/>
      <c r="C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2" t="s">
        <v>84</v>
      </c>
      <c r="BR68" s="4">
        <v>1.0966413</v>
      </c>
      <c r="BS68" s="6"/>
      <c r="BT68" s="6"/>
      <c r="BU68" s="2" t="s">
        <v>85</v>
      </c>
      <c r="BV68" s="4">
        <v>1.513842307</v>
      </c>
      <c r="BW68" s="6"/>
      <c r="BX68" s="6"/>
      <c r="BY68" s="2" t="s">
        <v>84</v>
      </c>
      <c r="BZ68" s="4">
        <v>1.094959351</v>
      </c>
      <c r="CA68" s="6"/>
      <c r="C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2" t="s">
        <v>85</v>
      </c>
      <c r="BR69" s="4">
        <v>1.545484911</v>
      </c>
      <c r="BS69" s="6"/>
      <c r="BT69" s="6"/>
      <c r="BU69" s="2" t="s">
        <v>85</v>
      </c>
      <c r="BV69" s="4">
        <v>1.525947709</v>
      </c>
      <c r="BW69" s="6"/>
      <c r="BX69" s="6"/>
      <c r="BY69" s="2" t="s">
        <v>84</v>
      </c>
      <c r="BZ69" s="4">
        <v>1.097802573</v>
      </c>
      <c r="CA69" s="6"/>
      <c r="C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2" t="s">
        <v>84</v>
      </c>
      <c r="BR70" s="4">
        <v>1.094392092</v>
      </c>
      <c r="BS70" s="6"/>
      <c r="BT70" s="6"/>
      <c r="BU70" s="2" t="s">
        <v>84</v>
      </c>
      <c r="BV70" s="4">
        <v>1.094579641</v>
      </c>
      <c r="BW70" s="6"/>
      <c r="BX70" s="6"/>
      <c r="BY70" s="2" t="s">
        <v>85</v>
      </c>
      <c r="BZ70" s="4">
        <v>1.523607249</v>
      </c>
      <c r="CA70" s="6"/>
      <c r="C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2" t="s">
        <v>84</v>
      </c>
      <c r="BR71" s="4">
        <v>1.094303802</v>
      </c>
      <c r="BS71" s="6"/>
      <c r="BT71" s="6"/>
      <c r="BU71" s="2" t="s">
        <v>84</v>
      </c>
      <c r="BV71" s="4">
        <v>1.095256541</v>
      </c>
      <c r="BW71" s="6"/>
      <c r="BX71" s="6"/>
      <c r="BY71" s="2" t="s">
        <v>85</v>
      </c>
      <c r="BZ71" s="4">
        <v>1.336796005</v>
      </c>
      <c r="CA71" s="6"/>
      <c r="C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2" t="s">
        <v>84</v>
      </c>
      <c r="BR72" s="4">
        <v>1.097065782</v>
      </c>
      <c r="BS72" s="6"/>
      <c r="BT72" s="6"/>
      <c r="BU72" s="2" t="s">
        <v>84</v>
      </c>
      <c r="BV72" s="4">
        <v>1.094974132</v>
      </c>
      <c r="BW72" s="6"/>
      <c r="BX72" s="6"/>
      <c r="BY72" s="2" t="s">
        <v>84</v>
      </c>
      <c r="BZ72" s="4">
        <v>1.086747579</v>
      </c>
      <c r="CA72" s="6"/>
      <c r="C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2" t="s">
        <v>92</v>
      </c>
      <c r="BR73" s="4">
        <v>1.230109686</v>
      </c>
      <c r="BS73" s="6"/>
      <c r="BT73" s="6"/>
      <c r="BU73" s="2" t="s">
        <v>85</v>
      </c>
      <c r="BV73" s="4">
        <v>1.546052628</v>
      </c>
      <c r="BW73" s="6"/>
      <c r="BX73" s="6"/>
      <c r="BY73" s="2" t="s">
        <v>85</v>
      </c>
      <c r="BZ73" s="4">
        <v>1.342645247</v>
      </c>
      <c r="CA73" s="6"/>
      <c r="C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2" t="s">
        <v>85</v>
      </c>
      <c r="BR74" s="4">
        <v>1.499972353</v>
      </c>
      <c r="BS74" s="6"/>
      <c r="BT74" s="6"/>
      <c r="BU74" s="2" t="s">
        <v>84</v>
      </c>
      <c r="BV74" s="4">
        <v>1.093914096</v>
      </c>
      <c r="BW74" s="6"/>
      <c r="BX74" s="6"/>
      <c r="BY74" s="2" t="s">
        <v>85</v>
      </c>
      <c r="BZ74" s="4">
        <v>1.476299387</v>
      </c>
      <c r="CA74" s="6"/>
      <c r="C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2" t="s">
        <v>85</v>
      </c>
      <c r="BR75" s="4">
        <v>1.513940686</v>
      </c>
      <c r="BS75" s="6"/>
      <c r="BT75" s="6"/>
      <c r="BU75" s="2" t="s">
        <v>84</v>
      </c>
      <c r="BV75" s="4">
        <v>1.094632747</v>
      </c>
      <c r="BW75" s="6"/>
      <c r="BX75" s="6"/>
      <c r="BY75" s="2" t="s">
        <v>84</v>
      </c>
      <c r="BZ75" s="4">
        <v>1.084943893</v>
      </c>
      <c r="CA75" s="6"/>
      <c r="C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2" t="s">
        <v>85</v>
      </c>
      <c r="BR76" s="4">
        <v>1.520314339</v>
      </c>
      <c r="BS76" s="6"/>
      <c r="BT76" s="6"/>
      <c r="BU76" s="2" t="s">
        <v>84</v>
      </c>
      <c r="BV76" s="4">
        <v>1.098334931</v>
      </c>
      <c r="BW76" s="6"/>
      <c r="BX76" s="6"/>
      <c r="BY76" s="2" t="s">
        <v>92</v>
      </c>
      <c r="BZ76" s="4">
        <v>1.411998049</v>
      </c>
      <c r="CA76" s="6"/>
      <c r="C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2" t="s">
        <v>85</v>
      </c>
      <c r="BR77" s="4">
        <v>1.505939737</v>
      </c>
      <c r="BS77" s="6"/>
      <c r="BT77" s="6"/>
      <c r="BU77" s="2" t="s">
        <v>85</v>
      </c>
      <c r="BV77" s="4">
        <v>1.522180321</v>
      </c>
      <c r="BW77" s="6"/>
      <c r="BX77" s="6"/>
      <c r="BY77" s="2" t="s">
        <v>85</v>
      </c>
      <c r="BZ77" s="4">
        <v>1.513809965</v>
      </c>
      <c r="CA77" s="6"/>
      <c r="C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2" t="s">
        <v>84</v>
      </c>
      <c r="BR78" s="4">
        <v>1.095584109</v>
      </c>
      <c r="BS78" s="6"/>
      <c r="BT78" s="6"/>
      <c r="BU78" s="2" t="s">
        <v>85</v>
      </c>
      <c r="BV78" s="4">
        <v>1.3365334</v>
      </c>
      <c r="BW78" s="6"/>
      <c r="BX78" s="6"/>
      <c r="BY78" s="2" t="s">
        <v>84</v>
      </c>
      <c r="BZ78" s="4">
        <v>1.092582574</v>
      </c>
      <c r="CA78" s="6"/>
      <c r="C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2" t="s">
        <v>84</v>
      </c>
      <c r="BR79" s="4">
        <v>1.09457008</v>
      </c>
      <c r="BS79" s="6"/>
      <c r="BT79" s="6"/>
      <c r="BU79" s="2" t="s">
        <v>84</v>
      </c>
      <c r="BV79" s="4">
        <v>1.087765715</v>
      </c>
      <c r="BW79" s="6"/>
      <c r="BX79" s="6"/>
      <c r="BY79" s="2" t="s">
        <v>84</v>
      </c>
      <c r="BZ79" s="4">
        <v>1.093207688</v>
      </c>
      <c r="CA79" s="6"/>
      <c r="C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2" t="s">
        <v>85</v>
      </c>
      <c r="BR80" s="4">
        <v>1.343519844</v>
      </c>
      <c r="BS80" s="6"/>
      <c r="BT80" s="6"/>
      <c r="BU80" s="2" t="s">
        <v>85</v>
      </c>
      <c r="BV80" s="4">
        <v>1.342287335</v>
      </c>
      <c r="BW80" s="6"/>
      <c r="BX80" s="6"/>
      <c r="BY80" s="2" t="s">
        <v>85</v>
      </c>
      <c r="BZ80" s="4">
        <v>1.336796005</v>
      </c>
      <c r="CA80" s="6"/>
      <c r="C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2" t="s">
        <v>85</v>
      </c>
      <c r="BR81" s="4">
        <v>1.480937413</v>
      </c>
      <c r="BS81" s="6"/>
      <c r="BT81" s="6"/>
      <c r="BU81" s="2" t="s">
        <v>85</v>
      </c>
      <c r="BV81" s="4">
        <v>1.477162801</v>
      </c>
      <c r="BW81" s="6"/>
      <c r="BX81" s="6"/>
      <c r="BY81" s="2" t="s">
        <v>85</v>
      </c>
      <c r="BZ81" s="4">
        <v>1.473237014</v>
      </c>
      <c r="CA81" s="6"/>
      <c r="C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2" t="s">
        <v>84</v>
      </c>
      <c r="BR82" s="4">
        <v>1.084710989</v>
      </c>
      <c r="BS82" s="6"/>
      <c r="BT82" s="6"/>
      <c r="BU82" s="2" t="s">
        <v>84</v>
      </c>
      <c r="BV82" s="4">
        <v>1.08481957</v>
      </c>
      <c r="BW82" s="6"/>
      <c r="BX82" s="6"/>
      <c r="BY82" s="2" t="s">
        <v>84</v>
      </c>
      <c r="BZ82" s="4">
        <v>1.083859004</v>
      </c>
      <c r="CA82" s="6"/>
      <c r="C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2" t="s">
        <v>92</v>
      </c>
      <c r="BR83" s="4">
        <v>1.229164163</v>
      </c>
      <c r="BS83" s="6"/>
      <c r="BT83" s="6"/>
      <c r="BU83" s="2" t="s">
        <v>92</v>
      </c>
      <c r="BV83" s="4">
        <v>1.41193701</v>
      </c>
      <c r="BW83" s="6"/>
      <c r="BX83" s="6"/>
      <c r="BY83" s="2" t="s">
        <v>92</v>
      </c>
      <c r="BZ83" s="4">
        <v>1.226327224</v>
      </c>
      <c r="CA83" s="6"/>
      <c r="C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2" t="s">
        <v>85</v>
      </c>
      <c r="BR84" s="4">
        <v>1.505939737</v>
      </c>
      <c r="BS84" s="6"/>
      <c r="BT84" s="6"/>
      <c r="BU84" s="2" t="s">
        <v>85</v>
      </c>
      <c r="BV84" s="4">
        <v>1.513842307</v>
      </c>
      <c r="BW84" s="6"/>
      <c r="BX84" s="6"/>
      <c r="BY84" s="2" t="s">
        <v>85</v>
      </c>
      <c r="BZ84" s="4">
        <v>1.476299387</v>
      </c>
      <c r="CA84" s="6"/>
      <c r="C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2" t="s">
        <v>85</v>
      </c>
      <c r="BR85" s="4">
        <v>1.480937413</v>
      </c>
      <c r="BS85" s="6"/>
      <c r="BT85" s="6"/>
      <c r="BU85" s="2" t="s">
        <v>84</v>
      </c>
      <c r="BV85" s="4">
        <v>1.092651916</v>
      </c>
      <c r="BW85" s="6"/>
      <c r="BX85" s="6"/>
      <c r="BY85" s="2" t="s">
        <v>85</v>
      </c>
      <c r="BZ85" s="4">
        <v>1.473237014</v>
      </c>
      <c r="CA85" s="6"/>
      <c r="C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2" t="s">
        <v>92</v>
      </c>
      <c r="BR86" s="4">
        <v>1.411912363</v>
      </c>
      <c r="BS86" s="6"/>
      <c r="BT86" s="6"/>
      <c r="BU86" s="2" t="s">
        <v>84</v>
      </c>
      <c r="BV86" s="4">
        <v>1.08762448</v>
      </c>
      <c r="BW86" s="6"/>
      <c r="BX86" s="6"/>
      <c r="BY86" s="2" t="s">
        <v>95</v>
      </c>
      <c r="BZ86" s="4">
        <v>1.102409021</v>
      </c>
      <c r="CA86" s="6"/>
      <c r="C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2" t="s">
        <v>85</v>
      </c>
      <c r="BR87" s="4">
        <v>1.513940686</v>
      </c>
      <c r="BS87" s="6"/>
      <c r="BT87" s="6"/>
      <c r="BU87" s="2" t="s">
        <v>85</v>
      </c>
      <c r="BV87" s="4">
        <v>1.3365334</v>
      </c>
      <c r="BW87" s="6"/>
      <c r="BX87" s="6"/>
      <c r="BY87" s="2" t="s">
        <v>95</v>
      </c>
      <c r="BZ87" s="4">
        <v>1.095239102</v>
      </c>
      <c r="CA87" s="6"/>
      <c r="C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2" t="s">
        <v>84</v>
      </c>
      <c r="BR88" s="4">
        <v>1.092511721</v>
      </c>
      <c r="BS88" s="6"/>
      <c r="BT88" s="6"/>
      <c r="BU88" s="2" t="s">
        <v>85</v>
      </c>
      <c r="BV88" s="4">
        <v>1.474170794</v>
      </c>
      <c r="BW88" s="6"/>
      <c r="BX88" s="6"/>
      <c r="BY88" s="2" t="s">
        <v>95</v>
      </c>
      <c r="BZ88" s="4">
        <v>1.10284629</v>
      </c>
      <c r="CA88" s="6"/>
      <c r="C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2" t="s">
        <v>84</v>
      </c>
      <c r="BR89" s="4">
        <v>1.093287826</v>
      </c>
      <c r="BS89" s="6"/>
      <c r="BT89" s="6"/>
      <c r="BU89" s="2" t="s">
        <v>84</v>
      </c>
      <c r="BV89" s="4">
        <v>1.083792217</v>
      </c>
      <c r="BW89" s="6"/>
      <c r="BX89" s="6"/>
      <c r="BY89" s="2" t="s">
        <v>95</v>
      </c>
      <c r="BZ89" s="4">
        <v>1.094905927</v>
      </c>
      <c r="CA89" s="6"/>
      <c r="C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2" t="s">
        <v>95</v>
      </c>
      <c r="BR90" s="4">
        <v>1.102911483</v>
      </c>
      <c r="BS90" s="6"/>
      <c r="BT90" s="6"/>
      <c r="BU90" s="2" t="s">
        <v>92</v>
      </c>
      <c r="BV90" s="4">
        <v>1.226393762</v>
      </c>
      <c r="BW90" s="6"/>
      <c r="BX90" s="6"/>
      <c r="BY90" s="2" t="s">
        <v>95</v>
      </c>
      <c r="BZ90" s="4">
        <v>1.095898088</v>
      </c>
      <c r="CA90" s="6"/>
      <c r="C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2" t="s">
        <v>95</v>
      </c>
      <c r="BR91" s="4">
        <v>1.09437213</v>
      </c>
      <c r="BS91" s="6"/>
      <c r="BT91" s="6"/>
      <c r="BU91" s="2" t="s">
        <v>85</v>
      </c>
      <c r="BV91" s="4">
        <v>1.477162801</v>
      </c>
      <c r="BW91" s="6"/>
      <c r="BX91" s="6"/>
      <c r="BY91" s="2" t="s">
        <v>95</v>
      </c>
      <c r="BZ91" s="4">
        <v>1.095426113</v>
      </c>
      <c r="CA91" s="6"/>
      <c r="C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2" t="s">
        <v>95</v>
      </c>
      <c r="BR92" s="4">
        <v>1.103302139</v>
      </c>
      <c r="BS92" s="6"/>
      <c r="BT92" s="6"/>
      <c r="BU92" s="2" t="s">
        <v>85</v>
      </c>
      <c r="BV92" s="4">
        <v>1.474170794</v>
      </c>
      <c r="BW92" s="6"/>
      <c r="BX92" s="6"/>
      <c r="BY92" s="2" t="s">
        <v>95</v>
      </c>
      <c r="BZ92" s="4">
        <v>1.095274139</v>
      </c>
      <c r="CA92" s="6"/>
      <c r="C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2" t="s">
        <v>95</v>
      </c>
      <c r="BR93" s="4">
        <v>1.097065472</v>
      </c>
      <c r="BS93" s="6"/>
      <c r="BT93" s="6"/>
      <c r="BU93" s="2" t="s">
        <v>95</v>
      </c>
      <c r="BV93" s="4">
        <v>1.102373934</v>
      </c>
      <c r="BW93" s="6"/>
      <c r="BX93" s="6"/>
      <c r="BY93" s="2" t="s">
        <v>95</v>
      </c>
      <c r="BZ93" s="4">
        <v>1.095048424</v>
      </c>
      <c r="CA93" s="6"/>
      <c r="C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2" t="s">
        <v>95</v>
      </c>
      <c r="BR94" s="4">
        <v>1.096342816</v>
      </c>
      <c r="BS94" s="6"/>
      <c r="BT94" s="6"/>
      <c r="BU94" s="2" t="s">
        <v>95</v>
      </c>
      <c r="BV94" s="4">
        <v>1.094469977</v>
      </c>
      <c r="BW94" s="6"/>
      <c r="BX94" s="6"/>
      <c r="BY94" s="2" t="s">
        <v>95</v>
      </c>
      <c r="BZ94" s="4">
        <v>1.09625767</v>
      </c>
      <c r="CA94" s="6"/>
      <c r="C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2" t="s">
        <v>95</v>
      </c>
      <c r="BR95" s="4">
        <v>1.095810212</v>
      </c>
      <c r="BS95" s="6"/>
      <c r="BT95" s="6"/>
      <c r="BU95" s="2" t="s">
        <v>95</v>
      </c>
      <c r="BV95" s="4">
        <v>1.096442183</v>
      </c>
      <c r="BW95" s="6"/>
      <c r="BX95" s="6"/>
      <c r="BY95" s="2" t="s">
        <v>95</v>
      </c>
      <c r="BZ95" s="4">
        <v>1.096255486</v>
      </c>
      <c r="CA95" s="6"/>
      <c r="C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2" t="s">
        <v>95</v>
      </c>
      <c r="BR96" s="4">
        <v>1.094761234</v>
      </c>
      <c r="BS96" s="6"/>
      <c r="BT96" s="6"/>
      <c r="BU96" s="2" t="s">
        <v>95</v>
      </c>
      <c r="BV96" s="4">
        <v>1.095164303</v>
      </c>
      <c r="BW96" s="6"/>
      <c r="BX96" s="6"/>
      <c r="BY96" s="2" t="s">
        <v>95</v>
      </c>
      <c r="BZ96" s="4">
        <v>1.098043137</v>
      </c>
      <c r="CA96" s="6"/>
      <c r="C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2" t="s">
        <v>95</v>
      </c>
      <c r="BR97" s="4">
        <v>1.096000187</v>
      </c>
      <c r="BS97" s="6"/>
      <c r="BT97" s="6"/>
      <c r="BU97" s="2" t="s">
        <v>95</v>
      </c>
      <c r="BV97" s="4">
        <v>1.094910307</v>
      </c>
      <c r="BW97" s="6"/>
      <c r="BX97" s="6"/>
      <c r="BY97" s="2" t="s">
        <v>95</v>
      </c>
      <c r="BZ97" s="4">
        <v>1.09444549</v>
      </c>
      <c r="CA97" s="6"/>
      <c r="C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2" t="s">
        <v>95</v>
      </c>
      <c r="BR98" s="4">
        <v>1.094927399</v>
      </c>
      <c r="BS98" s="6"/>
      <c r="BT98" s="6"/>
      <c r="BU98" s="2" t="s">
        <v>95</v>
      </c>
      <c r="BV98" s="4">
        <v>1.093830412</v>
      </c>
      <c r="BW98" s="6"/>
      <c r="BX98" s="6"/>
      <c r="BY98" s="2" t="s">
        <v>95</v>
      </c>
      <c r="BZ98" s="4">
        <v>1.09443575</v>
      </c>
      <c r="CA98" s="6"/>
      <c r="C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2" t="s">
        <v>95</v>
      </c>
      <c r="BR99" s="4">
        <v>1.096135667</v>
      </c>
      <c r="BS99" s="6"/>
      <c r="BT99" s="6"/>
      <c r="BU99" s="2" t="s">
        <v>95</v>
      </c>
      <c r="BV99" s="4">
        <v>1.097751534</v>
      </c>
      <c r="BW99" s="6"/>
      <c r="BX99" s="6"/>
      <c r="BY99" s="2" t="s">
        <v>95</v>
      </c>
      <c r="BZ99" s="4">
        <v>1.093951978</v>
      </c>
      <c r="CA99" s="6"/>
      <c r="C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2" t="s">
        <v>95</v>
      </c>
      <c r="BR100" s="4">
        <v>1.096245324</v>
      </c>
      <c r="BS100" s="6"/>
      <c r="BT100" s="6"/>
      <c r="BU100" s="2" t="s">
        <v>95</v>
      </c>
      <c r="BV100" s="4">
        <v>1.097161588</v>
      </c>
      <c r="BW100" s="6"/>
      <c r="BX100" s="6"/>
      <c r="BY100" s="2" t="s">
        <v>95</v>
      </c>
      <c r="BZ100" s="4">
        <v>1.095907834</v>
      </c>
      <c r="CA100" s="6"/>
      <c r="C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2" t="s">
        <v>95</v>
      </c>
      <c r="BR101" s="4">
        <v>1.097982322</v>
      </c>
      <c r="BS101" s="6"/>
      <c r="BT101" s="6"/>
      <c r="BU101" s="2" t="s">
        <v>95</v>
      </c>
      <c r="BV101" s="4">
        <v>1.096379743</v>
      </c>
      <c r="BW101" s="6"/>
      <c r="BX101" s="6"/>
      <c r="BY101" s="2" t="s">
        <v>95</v>
      </c>
      <c r="BZ101" s="4">
        <v>1.096877204</v>
      </c>
      <c r="CA101" s="6"/>
      <c r="C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2" t="s">
        <v>95</v>
      </c>
      <c r="BR102" s="4">
        <v>1.094946085</v>
      </c>
      <c r="BS102" s="6"/>
      <c r="BT102" s="6"/>
      <c r="BU102" s="2" t="s">
        <v>95</v>
      </c>
      <c r="BV102" s="4">
        <v>1.098210535</v>
      </c>
      <c r="BW102" s="6"/>
      <c r="BX102" s="6"/>
      <c r="BY102" s="2" t="s">
        <v>95</v>
      </c>
      <c r="BZ102" s="4">
        <v>1.09418317</v>
      </c>
      <c r="CA102" s="6"/>
      <c r="C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2" t="s">
        <v>95</v>
      </c>
      <c r="BR103" s="4">
        <v>1.092078445</v>
      </c>
      <c r="BS103" s="6"/>
      <c r="BT103" s="6"/>
      <c r="BU103" s="2" t="s">
        <v>95</v>
      </c>
      <c r="BV103" s="4">
        <v>1.094496606</v>
      </c>
      <c r="BW103" s="6"/>
      <c r="BX103" s="6"/>
      <c r="BY103" s="2" t="s">
        <v>95</v>
      </c>
      <c r="BZ103" s="4">
        <v>1.094959351</v>
      </c>
      <c r="CA103" s="6"/>
      <c r="C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2" t="s">
        <v>95</v>
      </c>
      <c r="BR104" s="4">
        <v>1.095255157</v>
      </c>
      <c r="BS104" s="6"/>
      <c r="BT104" s="6"/>
      <c r="BU104" s="2" t="s">
        <v>95</v>
      </c>
      <c r="BV104" s="4">
        <v>1.095010219</v>
      </c>
      <c r="BW104" s="6"/>
      <c r="BX104" s="6"/>
      <c r="BY104" s="2" t="s">
        <v>95</v>
      </c>
      <c r="BZ104" s="4">
        <v>1.097802573</v>
      </c>
      <c r="CA104" s="6"/>
      <c r="C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2" t="s">
        <v>95</v>
      </c>
      <c r="BR105" s="4">
        <v>1.09691254</v>
      </c>
      <c r="BS105" s="6"/>
      <c r="BT105" s="6"/>
      <c r="BU105" s="2" t="s">
        <v>95</v>
      </c>
      <c r="BV105" s="4">
        <v>1.091634179</v>
      </c>
      <c r="BW105" s="6"/>
      <c r="BX105" s="6"/>
      <c r="BY105" s="2" t="s">
        <v>95</v>
      </c>
      <c r="BZ105" s="4">
        <v>1.086747579</v>
      </c>
      <c r="CA105" s="6"/>
      <c r="C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2" t="s">
        <v>95</v>
      </c>
      <c r="BR106" s="4">
        <v>1.096974143</v>
      </c>
      <c r="BS106" s="6"/>
      <c r="BT106" s="6"/>
      <c r="BU106" s="2" t="s">
        <v>95</v>
      </c>
      <c r="BV106" s="4">
        <v>1.096102755</v>
      </c>
      <c r="BW106" s="6"/>
      <c r="BX106" s="6"/>
      <c r="BY106" s="2" t="s">
        <v>96</v>
      </c>
      <c r="BZ106" s="4">
        <v>0.971981332</v>
      </c>
      <c r="CA106" s="6"/>
      <c r="C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2" t="s">
        <v>95</v>
      </c>
      <c r="BR107" s="4">
        <v>1.099180144</v>
      </c>
      <c r="BS107" s="6"/>
      <c r="BT107" s="6"/>
      <c r="BU107" s="2" t="s">
        <v>95</v>
      </c>
      <c r="BV107" s="4">
        <v>1.096815873</v>
      </c>
      <c r="BW107" s="6"/>
      <c r="BX107" s="6"/>
      <c r="BY107" s="2" t="s">
        <v>95</v>
      </c>
      <c r="BZ107" s="4">
        <v>1.084943893</v>
      </c>
      <c r="CA107" s="6"/>
      <c r="C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2" t="s">
        <v>95</v>
      </c>
      <c r="BR108" s="4">
        <v>1.0966413</v>
      </c>
      <c r="BS108" s="6"/>
      <c r="BT108" s="6"/>
      <c r="BU108" s="2" t="s">
        <v>95</v>
      </c>
      <c r="BV108" s="4">
        <v>1.094579641</v>
      </c>
      <c r="BW108" s="6"/>
      <c r="BX108" s="6"/>
      <c r="BY108" s="2" t="s">
        <v>95</v>
      </c>
      <c r="BZ108" s="4">
        <v>1.092582574</v>
      </c>
      <c r="CA108" s="6"/>
      <c r="C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2" t="s">
        <v>95</v>
      </c>
      <c r="BR109" s="4">
        <v>1.094392092</v>
      </c>
      <c r="BS109" s="6"/>
      <c r="BT109" s="6"/>
      <c r="BU109" s="2" t="s">
        <v>95</v>
      </c>
      <c r="BV109" s="4">
        <v>1.095256541</v>
      </c>
      <c r="BW109" s="6"/>
      <c r="BX109" s="6"/>
      <c r="BY109" s="2" t="s">
        <v>95</v>
      </c>
      <c r="BZ109" s="4">
        <v>1.093207688</v>
      </c>
      <c r="CA109" s="6"/>
      <c r="C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2" t="s">
        <v>95</v>
      </c>
      <c r="BR110" s="4">
        <v>1.094303802</v>
      </c>
      <c r="BS110" s="6"/>
      <c r="BT110" s="6"/>
      <c r="BU110" s="2" t="s">
        <v>95</v>
      </c>
      <c r="BV110" s="4">
        <v>1.094974132</v>
      </c>
      <c r="BW110" s="6"/>
      <c r="BX110" s="6"/>
      <c r="BY110" s="2" t="s">
        <v>95</v>
      </c>
      <c r="BZ110" s="4">
        <v>1.083859004</v>
      </c>
      <c r="CA110" s="6"/>
      <c r="C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2" t="s">
        <v>95</v>
      </c>
      <c r="BR111" s="4">
        <v>1.097065782</v>
      </c>
      <c r="BS111" s="6"/>
      <c r="BT111" s="6"/>
      <c r="BU111" s="2" t="s">
        <v>95</v>
      </c>
      <c r="BV111" s="4">
        <v>1.093914096</v>
      </c>
      <c r="BW111" s="6"/>
      <c r="BX111" s="6"/>
      <c r="BY111" s="2" t="s">
        <v>96</v>
      </c>
      <c r="BZ111" s="4">
        <v>0.972473012</v>
      </c>
      <c r="CA111" s="6"/>
      <c r="C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2" t="s">
        <v>96</v>
      </c>
      <c r="BR112" s="4">
        <v>0.972247839</v>
      </c>
      <c r="BS112" s="6"/>
      <c r="BT112" s="6"/>
      <c r="BU112" s="2" t="s">
        <v>95</v>
      </c>
      <c r="BV112" s="4">
        <v>1.094632747</v>
      </c>
      <c r="BW112" s="6"/>
      <c r="BX112" s="6"/>
      <c r="BY112" s="6"/>
      <c r="BZ112" s="6"/>
      <c r="CA112" s="6"/>
      <c r="C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2" t="s">
        <v>95</v>
      </c>
      <c r="BR113" s="4">
        <v>1.095584109</v>
      </c>
      <c r="BS113" s="6"/>
      <c r="BT113" s="6"/>
      <c r="BU113" s="2" t="s">
        <v>95</v>
      </c>
      <c r="BV113" s="4">
        <v>1.098334931</v>
      </c>
      <c r="BW113" s="6"/>
      <c r="BX113" s="6"/>
      <c r="BY113" s="6"/>
      <c r="BZ113" s="6"/>
      <c r="CA113" s="6"/>
      <c r="C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2" t="s">
        <v>95</v>
      </c>
      <c r="BR114" s="4">
        <v>1.09457008</v>
      </c>
      <c r="BS114" s="6"/>
      <c r="BT114" s="6"/>
      <c r="BU114" s="2" t="s">
        <v>96</v>
      </c>
      <c r="BV114" s="4">
        <v>0.966553842</v>
      </c>
      <c r="BW114" s="6"/>
      <c r="BX114" s="6"/>
      <c r="BY114" s="6"/>
      <c r="BZ114" s="6"/>
      <c r="CA114" s="6"/>
      <c r="C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2" t="s">
        <v>96</v>
      </c>
      <c r="BR115" s="4">
        <v>0.972202597</v>
      </c>
      <c r="BS115" s="6"/>
      <c r="BT115" s="6"/>
      <c r="BU115" s="2" t="s">
        <v>95</v>
      </c>
      <c r="BV115" s="4">
        <v>1.087765715</v>
      </c>
      <c r="BW115" s="6"/>
      <c r="BX115" s="6"/>
      <c r="BY115" s="6"/>
      <c r="BZ115" s="6"/>
      <c r="CA115" s="6"/>
      <c r="C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2" t="s">
        <v>95</v>
      </c>
      <c r="BR116" s="4">
        <v>1.084710989</v>
      </c>
      <c r="BS116" s="6"/>
      <c r="BT116" s="6"/>
      <c r="BU116" s="2" t="s">
        <v>96</v>
      </c>
      <c r="BV116" s="4">
        <v>0.972242984</v>
      </c>
      <c r="BW116" s="6"/>
      <c r="BX116" s="6"/>
      <c r="BY116" s="6"/>
      <c r="BZ116" s="6"/>
      <c r="CA116" s="6"/>
      <c r="C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2" t="s">
        <v>95</v>
      </c>
      <c r="BR117" s="4">
        <v>1.092511721</v>
      </c>
      <c r="BS117" s="6"/>
      <c r="BT117" s="6"/>
      <c r="BU117" s="2" t="s">
        <v>95</v>
      </c>
      <c r="BV117" s="4">
        <v>1.08481957</v>
      </c>
      <c r="BW117" s="6"/>
      <c r="BX117" s="6"/>
      <c r="BY117" s="6"/>
      <c r="BZ117" s="6"/>
      <c r="CA117" s="6"/>
      <c r="C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2" t="s">
        <v>95</v>
      </c>
      <c r="BR118" s="4">
        <v>1.093287826</v>
      </c>
      <c r="BS118" s="6"/>
      <c r="BT118" s="6"/>
      <c r="BU118" s="2" t="s">
        <v>95</v>
      </c>
      <c r="BV118" s="4">
        <v>1.092651916</v>
      </c>
      <c r="BW118" s="6"/>
      <c r="BX118" s="6"/>
      <c r="BY118" s="6"/>
      <c r="BZ118" s="6"/>
      <c r="CA118" s="6"/>
      <c r="C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2" t="s">
        <v>96</v>
      </c>
      <c r="BR119" s="4">
        <v>0.972546971</v>
      </c>
      <c r="BS119" s="6"/>
      <c r="BT119" s="6"/>
      <c r="BU119" s="2" t="s">
        <v>95</v>
      </c>
      <c r="BV119" s="4">
        <v>1.08762448</v>
      </c>
      <c r="BW119" s="6"/>
      <c r="BX119" s="6"/>
      <c r="BY119" s="6"/>
      <c r="BZ119" s="6"/>
      <c r="CA119" s="6"/>
      <c r="C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2" t="s">
        <v>95</v>
      </c>
      <c r="BV120" s="4">
        <v>1.083792217</v>
      </c>
      <c r="BW120" s="6"/>
      <c r="BX120" s="6"/>
      <c r="BY120" s="6"/>
      <c r="BZ120" s="6"/>
      <c r="CA120" s="6"/>
      <c r="C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2" t="s">
        <v>96</v>
      </c>
      <c r="BV121" s="4">
        <v>0.972466503</v>
      </c>
      <c r="BW121" s="6"/>
      <c r="BX121" s="6"/>
      <c r="BY121" s="6"/>
      <c r="BZ121" s="6"/>
      <c r="CA121" s="6"/>
      <c r="CB12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</v>
      </c>
      <c r="B1" s="3" t="s">
        <v>100</v>
      </c>
      <c r="C1" s="3" t="s">
        <v>26</v>
      </c>
      <c r="D1" s="3" t="s">
        <v>100</v>
      </c>
      <c r="E1" s="2" t="s">
        <v>27</v>
      </c>
      <c r="F1" s="3" t="s">
        <v>101</v>
      </c>
      <c r="G1" s="3" t="s">
        <v>29</v>
      </c>
      <c r="H1" s="3" t="s">
        <v>101</v>
      </c>
      <c r="I1" s="2" t="s">
        <v>30</v>
      </c>
      <c r="J1" s="3" t="s">
        <v>102</v>
      </c>
      <c r="K1" s="3" t="s">
        <v>32</v>
      </c>
      <c r="L1" s="3" t="s">
        <v>102</v>
      </c>
      <c r="M1" s="2" t="s">
        <v>33</v>
      </c>
      <c r="N1" s="3" t="s">
        <v>103</v>
      </c>
      <c r="O1" s="3" t="s">
        <v>35</v>
      </c>
      <c r="P1" s="3" t="s">
        <v>103</v>
      </c>
      <c r="Q1" s="3" t="s">
        <v>36</v>
      </c>
      <c r="R1" s="3" t="s">
        <v>104</v>
      </c>
      <c r="S1" s="3" t="s">
        <v>38</v>
      </c>
      <c r="T1" s="3" t="s">
        <v>104</v>
      </c>
      <c r="U1" s="3" t="s">
        <v>39</v>
      </c>
      <c r="V1" s="3" t="s">
        <v>105</v>
      </c>
      <c r="W1" s="3" t="s">
        <v>41</v>
      </c>
      <c r="X1" s="3" t="s">
        <v>105</v>
      </c>
      <c r="Y1" s="3" t="s">
        <v>42</v>
      </c>
      <c r="Z1" s="3" t="s">
        <v>106</v>
      </c>
      <c r="AA1" s="3" t="s">
        <v>44</v>
      </c>
      <c r="AB1" s="3" t="s">
        <v>106</v>
      </c>
      <c r="AC1" s="3" t="s">
        <v>45</v>
      </c>
      <c r="AD1" s="3" t="s">
        <v>107</v>
      </c>
      <c r="AE1" s="3" t="s">
        <v>47</v>
      </c>
      <c r="AF1" s="3" t="s">
        <v>107</v>
      </c>
      <c r="AG1" s="3" t="s">
        <v>48</v>
      </c>
      <c r="AH1" s="3" t="s">
        <v>108</v>
      </c>
      <c r="AI1" s="3" t="s">
        <v>50</v>
      </c>
      <c r="AJ1" s="3" t="s">
        <v>108</v>
      </c>
      <c r="AK1" s="3" t="s">
        <v>51</v>
      </c>
      <c r="AL1" s="3" t="s">
        <v>109</v>
      </c>
      <c r="AM1" s="3" t="s">
        <v>53</v>
      </c>
      <c r="AN1" s="3" t="s">
        <v>109</v>
      </c>
      <c r="AO1" s="3" t="s">
        <v>54</v>
      </c>
      <c r="AP1" s="3" t="s">
        <v>110</v>
      </c>
      <c r="AQ1" s="3" t="s">
        <v>56</v>
      </c>
      <c r="AR1" s="3" t="s">
        <v>110</v>
      </c>
      <c r="AS1" s="3" t="s">
        <v>57</v>
      </c>
      <c r="AT1" s="3" t="s">
        <v>111</v>
      </c>
      <c r="AU1" s="3" t="s">
        <v>59</v>
      </c>
      <c r="AV1" s="3" t="s">
        <v>111</v>
      </c>
      <c r="AW1" s="3" t="s">
        <v>60</v>
      </c>
      <c r="AX1" s="3" t="s">
        <v>112</v>
      </c>
      <c r="AY1" s="3" t="s">
        <v>62</v>
      </c>
      <c r="AZ1" s="3" t="s">
        <v>112</v>
      </c>
      <c r="BA1" s="3" t="s">
        <v>63</v>
      </c>
      <c r="BB1" s="3" t="s">
        <v>113</v>
      </c>
      <c r="BC1" s="3" t="s">
        <v>65</v>
      </c>
      <c r="BD1" s="3" t="s">
        <v>113</v>
      </c>
      <c r="BE1" s="3" t="s">
        <v>66</v>
      </c>
      <c r="BF1" s="3" t="s">
        <v>114</v>
      </c>
      <c r="BG1" s="3" t="s">
        <v>68</v>
      </c>
      <c r="BH1" s="3" t="s">
        <v>114</v>
      </c>
      <c r="BI1" s="3" t="s">
        <v>69</v>
      </c>
      <c r="BJ1" s="3" t="s">
        <v>115</v>
      </c>
      <c r="BK1" s="3" t="s">
        <v>71</v>
      </c>
      <c r="BL1" s="3" t="s">
        <v>115</v>
      </c>
      <c r="BM1" s="3" t="s">
        <v>72</v>
      </c>
      <c r="BN1" s="3" t="s">
        <v>116</v>
      </c>
      <c r="BO1" s="3" t="s">
        <v>74</v>
      </c>
      <c r="BP1" s="3" t="s">
        <v>116</v>
      </c>
      <c r="BQ1" s="3" t="s">
        <v>75</v>
      </c>
      <c r="BR1" s="3" t="s">
        <v>117</v>
      </c>
      <c r="BS1" s="3" t="s">
        <v>77</v>
      </c>
      <c r="BT1" s="3" t="s">
        <v>117</v>
      </c>
      <c r="BU1" s="3" t="s">
        <v>78</v>
      </c>
      <c r="BV1" s="3" t="s">
        <v>118</v>
      </c>
      <c r="BW1" s="3" t="s">
        <v>80</v>
      </c>
      <c r="BX1" s="3" t="s">
        <v>118</v>
      </c>
      <c r="BY1" s="3" t="s">
        <v>81</v>
      </c>
      <c r="BZ1" s="3" t="s">
        <v>119</v>
      </c>
      <c r="CA1" s="3" t="s">
        <v>83</v>
      </c>
      <c r="CB1" s="3" t="s">
        <v>119</v>
      </c>
    </row>
    <row r="2">
      <c r="A2" s="2" t="s">
        <v>120</v>
      </c>
      <c r="B2" s="4">
        <v>179.9953796</v>
      </c>
      <c r="C2" s="5"/>
      <c r="D2" s="5"/>
      <c r="E2" s="2" t="s">
        <v>121</v>
      </c>
      <c r="F2" s="4">
        <v>110.5701096</v>
      </c>
      <c r="G2" s="5"/>
      <c r="H2" s="5"/>
      <c r="I2" s="2" t="s">
        <v>122</v>
      </c>
      <c r="J2" s="4">
        <v>111.660774</v>
      </c>
      <c r="K2" s="5"/>
      <c r="L2" s="5"/>
      <c r="M2" s="2" t="s">
        <v>122</v>
      </c>
      <c r="N2" s="4">
        <v>111.488797</v>
      </c>
      <c r="O2" s="6"/>
      <c r="P2" s="6"/>
      <c r="Q2" s="2" t="s">
        <v>121</v>
      </c>
      <c r="R2" s="4">
        <v>111.3286096</v>
      </c>
      <c r="S2" s="6"/>
      <c r="T2" s="6"/>
      <c r="U2" s="2" t="s">
        <v>122</v>
      </c>
      <c r="V2" s="4">
        <v>111.3394196</v>
      </c>
      <c r="W2" s="6"/>
      <c r="X2" s="6"/>
      <c r="Y2" s="2" t="s">
        <v>122</v>
      </c>
      <c r="Z2" s="4">
        <v>111.2222076</v>
      </c>
      <c r="AA2" s="6"/>
      <c r="AB2" s="6"/>
      <c r="AC2" s="2" t="s">
        <v>122</v>
      </c>
      <c r="AD2" s="4">
        <v>113.4390928</v>
      </c>
      <c r="AE2" s="6"/>
      <c r="AF2" s="6"/>
      <c r="AG2" s="2" t="s">
        <v>122</v>
      </c>
      <c r="AH2" s="4">
        <v>111.323993</v>
      </c>
      <c r="AI2" s="6"/>
      <c r="AJ2" s="6"/>
      <c r="AK2" s="2" t="s">
        <v>123</v>
      </c>
      <c r="AL2" s="4">
        <v>114.0451733</v>
      </c>
      <c r="AM2" s="6"/>
      <c r="AN2" s="6"/>
      <c r="AO2" s="2" t="s">
        <v>124</v>
      </c>
      <c r="AP2" s="4">
        <v>110.0173571</v>
      </c>
      <c r="AQ2" s="6"/>
      <c r="AR2" s="6"/>
      <c r="AS2" s="2" t="s">
        <v>125</v>
      </c>
      <c r="AT2" s="4">
        <v>119.5158869</v>
      </c>
      <c r="AU2" s="6"/>
      <c r="AV2" s="6"/>
      <c r="AW2" s="2" t="s">
        <v>126</v>
      </c>
      <c r="AX2" s="4">
        <v>107.6019829</v>
      </c>
      <c r="AY2" s="6"/>
      <c r="AZ2" s="6"/>
      <c r="BA2" s="2" t="s">
        <v>125</v>
      </c>
      <c r="BB2" s="4">
        <v>109.5768484</v>
      </c>
      <c r="BC2" s="6"/>
      <c r="BD2" s="6"/>
      <c r="BE2" s="2" t="s">
        <v>126</v>
      </c>
      <c r="BF2" s="4">
        <v>108.9007919</v>
      </c>
      <c r="BG2" s="6"/>
      <c r="BH2" s="6"/>
      <c r="BI2" s="2" t="s">
        <v>126</v>
      </c>
      <c r="BJ2" s="4">
        <v>111.8570433</v>
      </c>
      <c r="BK2" s="6"/>
      <c r="BL2" s="6"/>
      <c r="BM2" s="2" t="s">
        <v>126</v>
      </c>
      <c r="BN2" s="4">
        <v>111.8491836</v>
      </c>
      <c r="BO2" s="6"/>
      <c r="BP2" s="6"/>
      <c r="BQ2" s="2" t="s">
        <v>126</v>
      </c>
      <c r="BR2" s="4">
        <v>108.5238979</v>
      </c>
      <c r="BS2" s="6"/>
      <c r="BT2" s="6"/>
      <c r="BU2" s="2" t="s">
        <v>126</v>
      </c>
      <c r="BV2" s="4">
        <v>111.9474695</v>
      </c>
      <c r="BW2" s="6"/>
      <c r="BX2" s="6"/>
      <c r="BY2" s="2" t="s">
        <v>126</v>
      </c>
      <c r="BZ2" s="4">
        <v>108.4216979</v>
      </c>
      <c r="CA2" s="6"/>
      <c r="CB2" s="6"/>
    </row>
    <row r="3">
      <c r="A3" s="2" t="s">
        <v>120</v>
      </c>
      <c r="B3" s="4">
        <v>90.00462044</v>
      </c>
      <c r="C3" s="5"/>
      <c r="D3" s="5"/>
      <c r="E3" s="2" t="s">
        <v>121</v>
      </c>
      <c r="F3" s="4">
        <v>110.5703381</v>
      </c>
      <c r="G3" s="5"/>
      <c r="H3" s="5"/>
      <c r="I3" s="2" t="s">
        <v>121</v>
      </c>
      <c r="J3" s="4">
        <v>109.4443635</v>
      </c>
      <c r="K3" s="5"/>
      <c r="L3" s="5"/>
      <c r="M3" s="2" t="s">
        <v>121</v>
      </c>
      <c r="N3" s="4">
        <v>109.8787059</v>
      </c>
      <c r="O3" s="6"/>
      <c r="P3" s="6"/>
      <c r="Q3" s="2" t="s">
        <v>121</v>
      </c>
      <c r="R3" s="4">
        <v>109.6513777</v>
      </c>
      <c r="S3" s="6"/>
      <c r="T3" s="6"/>
      <c r="U3" s="2" t="s">
        <v>121</v>
      </c>
      <c r="V3" s="4">
        <v>109.666486</v>
      </c>
      <c r="W3" s="6"/>
      <c r="X3" s="6"/>
      <c r="Y3" s="2" t="s">
        <v>121</v>
      </c>
      <c r="Z3" s="4">
        <v>109.5856947</v>
      </c>
      <c r="AA3" s="6"/>
      <c r="AB3" s="6"/>
      <c r="AC3" s="2" t="s">
        <v>121</v>
      </c>
      <c r="AD3" s="4">
        <v>109.3859516</v>
      </c>
      <c r="AE3" s="6"/>
      <c r="AF3" s="6"/>
      <c r="AG3" s="2" t="s">
        <v>121</v>
      </c>
      <c r="AH3" s="4">
        <v>109.6213262</v>
      </c>
      <c r="AI3" s="6"/>
      <c r="AJ3" s="6"/>
      <c r="AK3" s="2" t="s">
        <v>126</v>
      </c>
      <c r="AL3" s="4">
        <v>111.8160336</v>
      </c>
      <c r="AM3" s="6"/>
      <c r="AN3" s="6"/>
      <c r="AO3" s="2" t="s">
        <v>124</v>
      </c>
      <c r="AP3" s="4">
        <v>109.9964386</v>
      </c>
      <c r="AQ3" s="6"/>
      <c r="AR3" s="6"/>
      <c r="AS3" s="2" t="s">
        <v>125</v>
      </c>
      <c r="AT3" s="4">
        <v>120.2485562</v>
      </c>
      <c r="AU3" s="6"/>
      <c r="AV3" s="6"/>
      <c r="AW3" s="2" t="s">
        <v>127</v>
      </c>
      <c r="AX3" s="4">
        <v>109.0035784</v>
      </c>
      <c r="AY3" s="6"/>
      <c r="AZ3" s="6"/>
      <c r="BA3" s="2" t="s">
        <v>128</v>
      </c>
      <c r="BB3" s="4">
        <v>125.2147944</v>
      </c>
      <c r="BC3" s="6"/>
      <c r="BD3" s="6"/>
      <c r="BE3" s="2" t="s">
        <v>125</v>
      </c>
      <c r="BF3" s="4">
        <v>128.1252556</v>
      </c>
      <c r="BG3" s="6"/>
      <c r="BH3" s="6"/>
      <c r="BI3" s="2" t="s">
        <v>125</v>
      </c>
      <c r="BJ3" s="4">
        <v>132.5785306</v>
      </c>
      <c r="BK3" s="6"/>
      <c r="BL3" s="6"/>
      <c r="BM3" s="2" t="s">
        <v>122</v>
      </c>
      <c r="BN3" s="4">
        <v>112.0168234</v>
      </c>
      <c r="BO3" s="6"/>
      <c r="BP3" s="6"/>
      <c r="BQ3" s="2" t="s">
        <v>126</v>
      </c>
      <c r="BR3" s="4">
        <v>107.7922881</v>
      </c>
      <c r="BS3" s="6"/>
      <c r="BT3" s="6"/>
      <c r="BU3" s="2" t="s">
        <v>126</v>
      </c>
      <c r="BV3" s="4">
        <v>107.659944</v>
      </c>
      <c r="BW3" s="6"/>
      <c r="BX3" s="6"/>
      <c r="BY3" s="2" t="s">
        <v>126</v>
      </c>
      <c r="BZ3" s="4">
        <v>107.4897076</v>
      </c>
      <c r="CA3" s="6"/>
      <c r="CB3" s="6"/>
    </row>
    <row r="4">
      <c r="A4" s="2" t="s">
        <v>120</v>
      </c>
      <c r="B4" s="4">
        <v>89.99537956</v>
      </c>
      <c r="C4" s="5"/>
      <c r="D4" s="5"/>
      <c r="E4" s="2" t="s">
        <v>121</v>
      </c>
      <c r="F4" s="4">
        <v>110.5750027</v>
      </c>
      <c r="G4" s="5"/>
      <c r="H4" s="5"/>
      <c r="I4" s="2" t="s">
        <v>121</v>
      </c>
      <c r="J4" s="4">
        <v>109.4443635</v>
      </c>
      <c r="K4" s="5"/>
      <c r="L4" s="5"/>
      <c r="M4" s="2" t="s">
        <v>121</v>
      </c>
      <c r="N4" s="4">
        <v>109.8635243</v>
      </c>
      <c r="O4" s="6"/>
      <c r="P4" s="6"/>
      <c r="Q4" s="2" t="s">
        <v>121</v>
      </c>
      <c r="R4" s="4">
        <v>109.5029537</v>
      </c>
      <c r="S4" s="6"/>
      <c r="T4" s="6"/>
      <c r="U4" s="2" t="s">
        <v>121</v>
      </c>
      <c r="V4" s="4">
        <v>109.4843588</v>
      </c>
      <c r="W4" s="6"/>
      <c r="X4" s="6"/>
      <c r="Y4" s="2" t="s">
        <v>121</v>
      </c>
      <c r="Z4" s="4">
        <v>109.38418</v>
      </c>
      <c r="AA4" s="6"/>
      <c r="AB4" s="6"/>
      <c r="AC4" s="2" t="s">
        <v>121</v>
      </c>
      <c r="AD4" s="4">
        <v>109.0871758</v>
      </c>
      <c r="AE4" s="6"/>
      <c r="AF4" s="6"/>
      <c r="AG4" s="2" t="s">
        <v>121</v>
      </c>
      <c r="AH4" s="4">
        <v>109.5207854</v>
      </c>
      <c r="AI4" s="6"/>
      <c r="AJ4" s="6"/>
      <c r="AK4" s="2" t="s">
        <v>127</v>
      </c>
      <c r="AL4" s="4">
        <v>120.8869771</v>
      </c>
      <c r="AM4" s="6"/>
      <c r="AN4" s="6"/>
      <c r="AO4" s="2" t="s">
        <v>129</v>
      </c>
      <c r="AP4" s="4">
        <v>119.9994507</v>
      </c>
      <c r="AQ4" s="6"/>
      <c r="AR4" s="6"/>
      <c r="AS4" s="2" t="s">
        <v>125</v>
      </c>
      <c r="AT4" s="4">
        <v>120.2355569</v>
      </c>
      <c r="AU4" s="6"/>
      <c r="AV4" s="6"/>
      <c r="AW4" s="2" t="s">
        <v>130</v>
      </c>
      <c r="AX4" s="4">
        <v>108.9128913</v>
      </c>
      <c r="AY4" s="6"/>
      <c r="AZ4" s="6"/>
      <c r="BA4" s="2" t="s">
        <v>128</v>
      </c>
      <c r="BB4" s="4">
        <v>125.2083524</v>
      </c>
      <c r="BC4" s="6"/>
      <c r="BD4" s="6"/>
      <c r="BE4" s="2" t="s">
        <v>128</v>
      </c>
      <c r="BF4" s="4">
        <v>115.2518831</v>
      </c>
      <c r="BG4" s="6"/>
      <c r="BH4" s="6"/>
      <c r="BI4" s="2" t="s">
        <v>128</v>
      </c>
      <c r="BJ4" s="4">
        <v>114.3754439</v>
      </c>
      <c r="BK4" s="6"/>
      <c r="BL4" s="6"/>
      <c r="BM4" s="2" t="s">
        <v>122</v>
      </c>
      <c r="BN4" s="4">
        <v>109.7873498</v>
      </c>
      <c r="BO4" s="6"/>
      <c r="BP4" s="6"/>
      <c r="BQ4" s="2" t="s">
        <v>126</v>
      </c>
      <c r="BR4" s="4">
        <v>107.4981705</v>
      </c>
      <c r="BS4" s="6"/>
      <c r="BT4" s="6"/>
      <c r="BU4" s="2" t="s">
        <v>126</v>
      </c>
      <c r="BV4" s="4">
        <v>107.505198</v>
      </c>
      <c r="BW4" s="6"/>
      <c r="BX4" s="6"/>
      <c r="BY4" s="2" t="s">
        <v>122</v>
      </c>
      <c r="BZ4" s="4">
        <v>99.58547238</v>
      </c>
      <c r="CA4" s="6"/>
      <c r="CB4" s="6"/>
    </row>
    <row r="5">
      <c r="A5" s="2" t="s">
        <v>120</v>
      </c>
      <c r="B5" s="4">
        <v>90.0</v>
      </c>
      <c r="C5" s="5"/>
      <c r="D5" s="5"/>
      <c r="E5" s="2" t="s">
        <v>120</v>
      </c>
      <c r="F5" s="4">
        <v>108.3498621</v>
      </c>
      <c r="G5" s="5"/>
      <c r="H5" s="5"/>
      <c r="I5" s="2" t="s">
        <v>121</v>
      </c>
      <c r="J5" s="4">
        <v>109.4459862</v>
      </c>
      <c r="K5" s="5"/>
      <c r="L5" s="5"/>
      <c r="M5" s="2" t="s">
        <v>121</v>
      </c>
      <c r="N5" s="4">
        <v>109.0869604</v>
      </c>
      <c r="O5" s="6"/>
      <c r="P5" s="6"/>
      <c r="Q5" s="2" t="s">
        <v>120</v>
      </c>
      <c r="R5" s="4">
        <v>109.6513777</v>
      </c>
      <c r="S5" s="6"/>
      <c r="T5" s="6"/>
      <c r="U5" s="2" t="s">
        <v>121</v>
      </c>
      <c r="V5" s="4">
        <v>109.4746282</v>
      </c>
      <c r="W5" s="6"/>
      <c r="X5" s="6"/>
      <c r="Y5" s="2" t="s">
        <v>121</v>
      </c>
      <c r="Z5" s="4">
        <v>109.7156572</v>
      </c>
      <c r="AA5" s="6"/>
      <c r="AB5" s="6"/>
      <c r="AC5" s="2" t="s">
        <v>121</v>
      </c>
      <c r="AD5" s="4">
        <v>109.0551144</v>
      </c>
      <c r="AE5" s="6"/>
      <c r="AF5" s="6"/>
      <c r="AG5" s="2" t="s">
        <v>121</v>
      </c>
      <c r="AH5" s="4">
        <v>109.6495232</v>
      </c>
      <c r="AI5" s="6"/>
      <c r="AJ5" s="6"/>
      <c r="AK5" s="2" t="s">
        <v>127</v>
      </c>
      <c r="AL5" s="4">
        <v>119.1193848</v>
      </c>
      <c r="AM5" s="6"/>
      <c r="AN5" s="6"/>
      <c r="AO5" s="2" t="s">
        <v>129</v>
      </c>
      <c r="AP5" s="4">
        <v>120.0026316</v>
      </c>
      <c r="AQ5" s="6"/>
      <c r="AR5" s="6"/>
      <c r="AS5" s="2" t="s">
        <v>125</v>
      </c>
      <c r="AT5" s="4">
        <v>106.9561837</v>
      </c>
      <c r="AU5" s="6"/>
      <c r="AV5" s="6"/>
      <c r="AW5" s="2" t="s">
        <v>130</v>
      </c>
      <c r="AX5" s="4">
        <v>108.3307624</v>
      </c>
      <c r="AY5" s="6"/>
      <c r="AZ5" s="6"/>
      <c r="BA5" s="2" t="s">
        <v>129</v>
      </c>
      <c r="BB5" s="4">
        <v>107.8380259</v>
      </c>
      <c r="BC5" s="6"/>
      <c r="BD5" s="6"/>
      <c r="BE5" s="2" t="s">
        <v>128</v>
      </c>
      <c r="BF5" s="4">
        <v>116.6228566</v>
      </c>
      <c r="BG5" s="6"/>
      <c r="BH5" s="6"/>
      <c r="BI5" s="2" t="s">
        <v>128</v>
      </c>
      <c r="BJ5" s="4">
        <v>111.0845056</v>
      </c>
      <c r="BK5" s="6"/>
      <c r="BL5" s="6"/>
      <c r="BM5" s="2" t="s">
        <v>121</v>
      </c>
      <c r="BN5" s="4">
        <v>107.9702717</v>
      </c>
      <c r="BO5" s="6"/>
      <c r="BP5" s="6"/>
      <c r="BQ5" s="2" t="s">
        <v>122</v>
      </c>
      <c r="BR5" s="4">
        <v>99.47995956</v>
      </c>
      <c r="BS5" s="6"/>
      <c r="BT5" s="6"/>
      <c r="BU5" s="2" t="s">
        <v>122</v>
      </c>
      <c r="BV5" s="4">
        <v>99.2794014</v>
      </c>
      <c r="BW5" s="6"/>
      <c r="BX5" s="6"/>
      <c r="BY5" s="2" t="s">
        <v>122</v>
      </c>
      <c r="BZ5" s="4">
        <v>107.7836895</v>
      </c>
      <c r="CA5" s="6"/>
      <c r="CB5" s="6"/>
    </row>
    <row r="6">
      <c r="A6" s="2" t="s">
        <v>120</v>
      </c>
      <c r="B6" s="4">
        <v>90.0</v>
      </c>
      <c r="C6" s="5"/>
      <c r="D6" s="5"/>
      <c r="E6" s="2" t="s">
        <v>120</v>
      </c>
      <c r="F6" s="4">
        <v>108.3484405</v>
      </c>
      <c r="G6" s="5"/>
      <c r="H6" s="5"/>
      <c r="I6" s="2" t="s">
        <v>121</v>
      </c>
      <c r="J6" s="4">
        <v>109.4459862</v>
      </c>
      <c r="K6" s="5"/>
      <c r="L6" s="5"/>
      <c r="M6" s="2" t="s">
        <v>121</v>
      </c>
      <c r="N6" s="4">
        <v>109.2203737</v>
      </c>
      <c r="O6" s="6"/>
      <c r="P6" s="6"/>
      <c r="Q6" s="2" t="s">
        <v>120</v>
      </c>
      <c r="R6" s="4">
        <v>109.5029537</v>
      </c>
      <c r="S6" s="6"/>
      <c r="T6" s="6"/>
      <c r="U6" s="2" t="s">
        <v>121</v>
      </c>
      <c r="V6" s="4">
        <v>109.6551088</v>
      </c>
      <c r="W6" s="6"/>
      <c r="X6" s="6"/>
      <c r="Y6" s="2" t="s">
        <v>121</v>
      </c>
      <c r="Z6" s="4">
        <v>109.6554538</v>
      </c>
      <c r="AA6" s="6"/>
      <c r="AB6" s="6"/>
      <c r="AC6" s="2" t="s">
        <v>121</v>
      </c>
      <c r="AD6" s="4">
        <v>108.9041015</v>
      </c>
      <c r="AE6" s="6"/>
      <c r="AF6" s="6"/>
      <c r="AG6" s="2" t="s">
        <v>121</v>
      </c>
      <c r="AH6" s="4">
        <v>109.4731629</v>
      </c>
      <c r="AI6" s="6"/>
      <c r="AJ6" s="6"/>
      <c r="AK6" s="2" t="s">
        <v>122</v>
      </c>
      <c r="AL6" s="4">
        <v>119.9935987</v>
      </c>
      <c r="AM6" s="6"/>
      <c r="AN6" s="6"/>
      <c r="AO6" s="2" t="s">
        <v>122</v>
      </c>
      <c r="AP6" s="4">
        <v>119.9979177</v>
      </c>
      <c r="AQ6" s="6"/>
      <c r="AR6" s="6"/>
      <c r="AS6" s="2" t="s">
        <v>125</v>
      </c>
      <c r="AT6" s="4">
        <v>127.5012563</v>
      </c>
      <c r="AU6" s="6"/>
      <c r="AV6" s="6"/>
      <c r="AW6" s="2" t="s">
        <v>121</v>
      </c>
      <c r="AX6" s="4">
        <v>111.2579452</v>
      </c>
      <c r="AY6" s="6"/>
      <c r="AZ6" s="6"/>
      <c r="BA6" s="2" t="s">
        <v>131</v>
      </c>
      <c r="BB6" s="4">
        <v>120.6386068</v>
      </c>
      <c r="BC6" s="6"/>
      <c r="BD6" s="6"/>
      <c r="BE6" s="2" t="s">
        <v>129</v>
      </c>
      <c r="BF6" s="4">
        <v>119.9953435</v>
      </c>
      <c r="BG6" s="6"/>
      <c r="BH6" s="6"/>
      <c r="BI6" s="2" t="s">
        <v>122</v>
      </c>
      <c r="BJ6" s="4">
        <v>121.1218897</v>
      </c>
      <c r="BK6" s="6"/>
      <c r="BL6" s="6"/>
      <c r="BM6" s="2" t="s">
        <v>122</v>
      </c>
      <c r="BN6" s="4">
        <v>109.6707135</v>
      </c>
      <c r="BO6" s="6"/>
      <c r="BP6" s="6"/>
      <c r="BQ6" s="2" t="s">
        <v>122</v>
      </c>
      <c r="BR6" s="4">
        <v>107.4471339</v>
      </c>
      <c r="BS6" s="6"/>
      <c r="BT6" s="6"/>
      <c r="BU6" s="2" t="s">
        <v>122</v>
      </c>
      <c r="BV6" s="4">
        <v>107.3683339</v>
      </c>
      <c r="BW6" s="6"/>
      <c r="BX6" s="6"/>
      <c r="BY6" s="2" t="s">
        <v>122</v>
      </c>
      <c r="BZ6" s="4">
        <v>113.4210789</v>
      </c>
      <c r="CA6" s="6"/>
      <c r="CB6" s="6"/>
    </row>
    <row r="7">
      <c r="A7" s="2" t="s">
        <v>120</v>
      </c>
      <c r="B7" s="4">
        <v>179.9999991</v>
      </c>
      <c r="C7" s="5"/>
      <c r="D7" s="5"/>
      <c r="E7" s="2" t="s">
        <v>120</v>
      </c>
      <c r="F7" s="4">
        <v>108.3473595</v>
      </c>
      <c r="G7" s="5"/>
      <c r="H7" s="5"/>
      <c r="I7" s="2" t="s">
        <v>120</v>
      </c>
      <c r="J7" s="4">
        <v>107.297772</v>
      </c>
      <c r="K7" s="5"/>
      <c r="L7" s="5"/>
      <c r="M7" s="2" t="s">
        <v>120</v>
      </c>
      <c r="N7" s="4">
        <v>107.1996474</v>
      </c>
      <c r="O7" s="6"/>
      <c r="P7" s="6"/>
      <c r="Q7" s="2" t="s">
        <v>120</v>
      </c>
      <c r="R7" s="4">
        <v>107.1079223</v>
      </c>
      <c r="S7" s="6"/>
      <c r="T7" s="6"/>
      <c r="U7" s="2" t="s">
        <v>120</v>
      </c>
      <c r="V7" s="4">
        <v>107.1257327</v>
      </c>
      <c r="W7" s="6"/>
      <c r="X7" s="6"/>
      <c r="Y7" s="2" t="s">
        <v>120</v>
      </c>
      <c r="Z7" s="4">
        <v>107.1889512</v>
      </c>
      <c r="AA7" s="6"/>
      <c r="AB7" s="6"/>
      <c r="AC7" s="2" t="s">
        <v>120</v>
      </c>
      <c r="AD7" s="4">
        <v>106.7519881</v>
      </c>
      <c r="AE7" s="6"/>
      <c r="AF7" s="6"/>
      <c r="AG7" s="2" t="s">
        <v>120</v>
      </c>
      <c r="AH7" s="4">
        <v>107.1584829</v>
      </c>
      <c r="AI7" s="6"/>
      <c r="AJ7" s="6"/>
      <c r="AK7" s="2" t="s">
        <v>122</v>
      </c>
      <c r="AL7" s="4">
        <v>119.9981291</v>
      </c>
      <c r="AM7" s="6"/>
      <c r="AN7" s="6"/>
      <c r="AO7" s="2" t="s">
        <v>129</v>
      </c>
      <c r="AP7" s="4">
        <v>119.745975</v>
      </c>
      <c r="AQ7" s="6"/>
      <c r="AR7" s="6"/>
      <c r="AS7" s="2" t="s">
        <v>125</v>
      </c>
      <c r="AT7" s="4">
        <v>125.5425508</v>
      </c>
      <c r="AU7" s="6"/>
      <c r="AV7" s="6"/>
      <c r="AW7" s="2" t="s">
        <v>121</v>
      </c>
      <c r="AX7" s="4">
        <v>110.673951</v>
      </c>
      <c r="AY7" s="6"/>
      <c r="AZ7" s="6"/>
      <c r="BA7" s="2" t="s">
        <v>121</v>
      </c>
      <c r="BB7" s="4">
        <v>131.5233605</v>
      </c>
      <c r="BC7" s="6"/>
      <c r="BD7" s="6"/>
      <c r="BE7" s="2" t="s">
        <v>129</v>
      </c>
      <c r="BF7" s="4">
        <v>120.0025871</v>
      </c>
      <c r="BG7" s="6"/>
      <c r="BH7" s="6"/>
      <c r="BI7" s="2" t="s">
        <v>122</v>
      </c>
      <c r="BJ7" s="4">
        <v>119.9985426</v>
      </c>
      <c r="BK7" s="6"/>
      <c r="BL7" s="6"/>
      <c r="BM7" s="2" t="s">
        <v>121</v>
      </c>
      <c r="BN7" s="4">
        <v>108.7824562</v>
      </c>
      <c r="BO7" s="6"/>
      <c r="BP7" s="6"/>
      <c r="BQ7" s="2" t="s">
        <v>122</v>
      </c>
      <c r="BR7" s="4">
        <v>113.2456055</v>
      </c>
      <c r="BS7" s="6"/>
      <c r="BT7" s="6"/>
      <c r="BU7" s="2" t="s">
        <v>122</v>
      </c>
      <c r="BV7" s="4">
        <v>113.302257</v>
      </c>
      <c r="BW7" s="6"/>
      <c r="BX7" s="6"/>
      <c r="BY7" s="2" t="s">
        <v>122</v>
      </c>
      <c r="BZ7" s="4">
        <v>116.2486412</v>
      </c>
      <c r="CA7" s="6"/>
      <c r="CB7" s="6"/>
    </row>
    <row r="8">
      <c r="A8" s="5"/>
      <c r="B8" s="5"/>
      <c r="C8" s="5"/>
      <c r="D8" s="5"/>
      <c r="E8" s="2" t="s">
        <v>121</v>
      </c>
      <c r="F8" s="4">
        <v>110.5703381</v>
      </c>
      <c r="G8" s="5"/>
      <c r="H8" s="5"/>
      <c r="I8" s="2" t="s">
        <v>121</v>
      </c>
      <c r="J8" s="4">
        <v>111.0024584</v>
      </c>
      <c r="K8" s="5"/>
      <c r="L8" s="5"/>
      <c r="M8" s="2" t="s">
        <v>122</v>
      </c>
      <c r="N8" s="4">
        <v>111.4972236</v>
      </c>
      <c r="O8" s="6"/>
      <c r="P8" s="6"/>
      <c r="Q8" s="2" t="s">
        <v>122</v>
      </c>
      <c r="R8" s="4">
        <v>111.4970921</v>
      </c>
      <c r="S8" s="6"/>
      <c r="T8" s="6"/>
      <c r="U8" s="2" t="s">
        <v>122</v>
      </c>
      <c r="V8" s="4">
        <v>111.3255534</v>
      </c>
      <c r="W8" s="6"/>
      <c r="X8" s="6"/>
      <c r="Y8" s="2" t="s">
        <v>122</v>
      </c>
      <c r="Z8" s="4">
        <v>113.3487473</v>
      </c>
      <c r="AA8" s="6"/>
      <c r="AB8" s="6"/>
      <c r="AC8" s="2" t="s">
        <v>122</v>
      </c>
      <c r="AD8" s="4">
        <v>111.2033444</v>
      </c>
      <c r="AE8" s="6"/>
      <c r="AF8" s="6"/>
      <c r="AG8" s="2" t="s">
        <v>122</v>
      </c>
      <c r="AH8" s="4">
        <v>111.2188672</v>
      </c>
      <c r="AI8" s="6"/>
      <c r="AJ8" s="6"/>
      <c r="AK8" s="2" t="s">
        <v>122</v>
      </c>
      <c r="AL8" s="4">
        <v>120.879559</v>
      </c>
      <c r="AM8" s="6"/>
      <c r="AN8" s="6"/>
      <c r="AO8" s="2" t="s">
        <v>129</v>
      </c>
      <c r="AP8" s="4">
        <v>119.7402582</v>
      </c>
      <c r="AQ8" s="6"/>
      <c r="AR8" s="6"/>
      <c r="AS8" s="2" t="s">
        <v>125</v>
      </c>
      <c r="AT8" s="4">
        <v>126.7336082</v>
      </c>
      <c r="AU8" s="6"/>
      <c r="AV8" s="6"/>
      <c r="AW8" s="2" t="s">
        <v>120</v>
      </c>
      <c r="AX8" s="4">
        <v>108.5979021</v>
      </c>
      <c r="AY8" s="6"/>
      <c r="AZ8" s="6"/>
      <c r="BA8" s="2" t="s">
        <v>129</v>
      </c>
      <c r="BB8" s="4">
        <v>107.8371276</v>
      </c>
      <c r="BC8" s="6"/>
      <c r="BD8" s="6"/>
      <c r="BE8" s="2" t="s">
        <v>122</v>
      </c>
      <c r="BF8" s="4">
        <v>120.0020667</v>
      </c>
      <c r="BG8" s="6"/>
      <c r="BH8" s="6"/>
      <c r="BI8" s="2" t="s">
        <v>122</v>
      </c>
      <c r="BJ8" s="4">
        <v>118.8795178</v>
      </c>
      <c r="BK8" s="6"/>
      <c r="BL8" s="6"/>
      <c r="BM8" s="2" t="s">
        <v>121</v>
      </c>
      <c r="BN8" s="4">
        <v>108.5308089</v>
      </c>
      <c r="BO8" s="6"/>
      <c r="BP8" s="6"/>
      <c r="BQ8" s="2" t="s">
        <v>122</v>
      </c>
      <c r="BR8" s="4">
        <v>115.997096</v>
      </c>
      <c r="BS8" s="6"/>
      <c r="BT8" s="6"/>
      <c r="BU8" s="2" t="s">
        <v>122</v>
      </c>
      <c r="BV8" s="4">
        <v>116.0318088</v>
      </c>
      <c r="BW8" s="6"/>
      <c r="BX8" s="6"/>
      <c r="BY8" s="2" t="s">
        <v>122</v>
      </c>
      <c r="BZ8" s="4">
        <v>110.5249059</v>
      </c>
      <c r="CA8" s="6"/>
      <c r="CB8" s="6"/>
    </row>
    <row r="9">
      <c r="A9" s="5"/>
      <c r="B9" s="5"/>
      <c r="C9" s="5"/>
      <c r="D9" s="5"/>
      <c r="E9" s="2" t="s">
        <v>121</v>
      </c>
      <c r="F9" s="4">
        <v>110.5750027</v>
      </c>
      <c r="G9" s="5"/>
      <c r="H9" s="5"/>
      <c r="I9" s="2" t="s">
        <v>121</v>
      </c>
      <c r="J9" s="4">
        <v>110.9969293</v>
      </c>
      <c r="K9" s="5"/>
      <c r="L9" s="5"/>
      <c r="M9" s="2" t="s">
        <v>121</v>
      </c>
      <c r="N9" s="4">
        <v>109.8661781</v>
      </c>
      <c r="O9" s="6"/>
      <c r="P9" s="6"/>
      <c r="Q9" s="2" t="s">
        <v>121</v>
      </c>
      <c r="R9" s="4">
        <v>109.8471712</v>
      </c>
      <c r="S9" s="6"/>
      <c r="T9" s="6"/>
      <c r="U9" s="2" t="s">
        <v>121</v>
      </c>
      <c r="V9" s="4">
        <v>109.6486355</v>
      </c>
      <c r="W9" s="6"/>
      <c r="X9" s="6"/>
      <c r="Y9" s="2" t="s">
        <v>121</v>
      </c>
      <c r="Z9" s="4">
        <v>109.3285034</v>
      </c>
      <c r="AA9" s="6"/>
      <c r="AB9" s="6"/>
      <c r="AC9" s="2" t="s">
        <v>121</v>
      </c>
      <c r="AD9" s="4">
        <v>109.5525321</v>
      </c>
      <c r="AE9" s="6"/>
      <c r="AF9" s="6"/>
      <c r="AG9" s="2" t="s">
        <v>121</v>
      </c>
      <c r="AH9" s="4">
        <v>109.7476576</v>
      </c>
      <c r="AI9" s="6"/>
      <c r="AJ9" s="6"/>
      <c r="AK9" s="2" t="s">
        <v>122</v>
      </c>
      <c r="AL9" s="4">
        <v>119.1222838</v>
      </c>
      <c r="AM9" s="6"/>
      <c r="AN9" s="6"/>
      <c r="AO9" s="2" t="s">
        <v>122</v>
      </c>
      <c r="AP9" s="4">
        <v>120.5137663</v>
      </c>
      <c r="AQ9" s="6"/>
      <c r="AR9" s="6"/>
      <c r="AS9" s="2" t="s">
        <v>125</v>
      </c>
      <c r="AT9" s="4">
        <v>116.6295209</v>
      </c>
      <c r="AU9" s="6"/>
      <c r="AV9" s="6"/>
      <c r="AW9" s="2" t="s">
        <v>121</v>
      </c>
      <c r="AX9" s="4">
        <v>110.8524711</v>
      </c>
      <c r="AY9" s="6"/>
      <c r="AZ9" s="6"/>
      <c r="BA9" s="2" t="s">
        <v>131</v>
      </c>
      <c r="BB9" s="4">
        <v>120.6526691</v>
      </c>
      <c r="BC9" s="6"/>
      <c r="BD9" s="6"/>
      <c r="BE9" s="2" t="s">
        <v>122</v>
      </c>
      <c r="BF9" s="4">
        <v>119.9939273</v>
      </c>
      <c r="BG9" s="6"/>
      <c r="BH9" s="6"/>
      <c r="BI9" s="2" t="s">
        <v>129</v>
      </c>
      <c r="BJ9" s="4">
        <v>120.764491</v>
      </c>
      <c r="BK9" s="6"/>
      <c r="BL9" s="6"/>
      <c r="BM9" s="2" t="s">
        <v>122</v>
      </c>
      <c r="BN9" s="4">
        <v>113.8481648</v>
      </c>
      <c r="BO9" s="6"/>
      <c r="BP9" s="6"/>
      <c r="BQ9" s="2" t="s">
        <v>122</v>
      </c>
      <c r="BR9" s="4">
        <v>109.5426159</v>
      </c>
      <c r="BS9" s="6"/>
      <c r="BT9" s="6"/>
      <c r="BU9" s="2" t="s">
        <v>122</v>
      </c>
      <c r="BV9" s="4">
        <v>109.9891495</v>
      </c>
      <c r="BW9" s="6"/>
      <c r="BX9" s="6"/>
      <c r="BY9" s="2" t="s">
        <v>122</v>
      </c>
      <c r="BZ9" s="4">
        <v>109.0963618</v>
      </c>
      <c r="CA9" s="6"/>
      <c r="CB9" s="6"/>
    </row>
    <row r="10">
      <c r="A10" s="5"/>
      <c r="B10" s="5"/>
      <c r="C10" s="5"/>
      <c r="D10" s="5"/>
      <c r="E10" s="2" t="s">
        <v>121</v>
      </c>
      <c r="F10" s="4">
        <v>110.5701096</v>
      </c>
      <c r="G10" s="5"/>
      <c r="H10" s="5"/>
      <c r="I10" s="2" t="s">
        <v>121</v>
      </c>
      <c r="J10" s="4">
        <v>110.2772292</v>
      </c>
      <c r="K10" s="5"/>
      <c r="L10" s="5"/>
      <c r="M10" s="2" t="s">
        <v>121</v>
      </c>
      <c r="N10" s="4">
        <v>109.8744525</v>
      </c>
      <c r="O10" s="6"/>
      <c r="P10" s="6"/>
      <c r="Q10" s="2" t="s">
        <v>121</v>
      </c>
      <c r="R10" s="4">
        <v>109.8873784</v>
      </c>
      <c r="S10" s="6"/>
      <c r="T10" s="6"/>
      <c r="U10" s="2" t="s">
        <v>121</v>
      </c>
      <c r="V10" s="4">
        <v>109.4965684</v>
      </c>
      <c r="W10" s="6"/>
      <c r="X10" s="6"/>
      <c r="Y10" s="2" t="s">
        <v>121</v>
      </c>
      <c r="Z10" s="4">
        <v>109.18142</v>
      </c>
      <c r="AA10" s="6"/>
      <c r="AB10" s="6"/>
      <c r="AC10" s="2" t="s">
        <v>121</v>
      </c>
      <c r="AD10" s="4">
        <v>109.421086</v>
      </c>
      <c r="AE10" s="6"/>
      <c r="AF10" s="6"/>
      <c r="AG10" s="2" t="s">
        <v>121</v>
      </c>
      <c r="AH10" s="4">
        <v>109.6240202</v>
      </c>
      <c r="AI10" s="6"/>
      <c r="AJ10" s="6"/>
      <c r="AK10" s="2" t="s">
        <v>122</v>
      </c>
      <c r="AL10" s="4">
        <v>120.0087633</v>
      </c>
      <c r="AM10" s="6"/>
      <c r="AN10" s="6"/>
      <c r="AO10" s="2" t="s">
        <v>122</v>
      </c>
      <c r="AP10" s="4">
        <v>120.0035391</v>
      </c>
      <c r="AQ10" s="6"/>
      <c r="AR10" s="6"/>
      <c r="AS10" s="2" t="s">
        <v>125</v>
      </c>
      <c r="AT10" s="4">
        <v>116.6368707</v>
      </c>
      <c r="AU10" s="6"/>
      <c r="AV10" s="6"/>
      <c r="AW10" s="2" t="s">
        <v>121</v>
      </c>
      <c r="AX10" s="4">
        <v>110.6643678</v>
      </c>
      <c r="AY10" s="6"/>
      <c r="AZ10" s="6"/>
      <c r="BA10" s="2" t="s">
        <v>121</v>
      </c>
      <c r="BB10" s="4">
        <v>131.5102024</v>
      </c>
      <c r="BC10" s="6"/>
      <c r="BD10" s="6"/>
      <c r="BE10" s="2" t="s">
        <v>121</v>
      </c>
      <c r="BF10" s="4">
        <v>124.2666976</v>
      </c>
      <c r="BG10" s="6"/>
      <c r="BH10" s="6"/>
      <c r="BI10" s="2" t="s">
        <v>129</v>
      </c>
      <c r="BJ10" s="4">
        <v>119.2372193</v>
      </c>
      <c r="BK10" s="6"/>
      <c r="BL10" s="6"/>
      <c r="BM10" s="2" t="s">
        <v>121</v>
      </c>
      <c r="BN10" s="4">
        <v>109.9424158</v>
      </c>
      <c r="BO10" s="6"/>
      <c r="BP10" s="6"/>
      <c r="BQ10" s="2" t="s">
        <v>122</v>
      </c>
      <c r="BR10" s="4">
        <v>110.7470442</v>
      </c>
      <c r="BS10" s="6"/>
      <c r="BT10" s="6"/>
      <c r="BU10" s="2" t="s">
        <v>122</v>
      </c>
      <c r="BV10" s="4">
        <v>110.491775</v>
      </c>
      <c r="BW10" s="6"/>
      <c r="BX10" s="6"/>
      <c r="BY10" s="2" t="s">
        <v>122</v>
      </c>
      <c r="BZ10" s="4">
        <v>113.0606985</v>
      </c>
      <c r="CA10" s="6"/>
      <c r="CB10" s="6"/>
    </row>
    <row r="11">
      <c r="A11" s="5"/>
      <c r="B11" s="5"/>
      <c r="C11" s="5"/>
      <c r="D11" s="5"/>
      <c r="E11" s="2" t="s">
        <v>120</v>
      </c>
      <c r="F11" s="4">
        <v>108.3473595</v>
      </c>
      <c r="G11" s="5"/>
      <c r="H11" s="5"/>
      <c r="I11" s="2" t="s">
        <v>120</v>
      </c>
      <c r="J11" s="4">
        <v>108.2832519</v>
      </c>
      <c r="K11" s="5"/>
      <c r="L11" s="5"/>
      <c r="M11" s="2" t="s">
        <v>121</v>
      </c>
      <c r="N11" s="4">
        <v>109.217348</v>
      </c>
      <c r="O11" s="6"/>
      <c r="P11" s="6"/>
      <c r="Q11" s="2" t="s">
        <v>121</v>
      </c>
      <c r="R11" s="4">
        <v>109.2250378</v>
      </c>
      <c r="S11" s="6"/>
      <c r="T11" s="6"/>
      <c r="U11" s="2" t="s">
        <v>121</v>
      </c>
      <c r="V11" s="4">
        <v>109.6387585</v>
      </c>
      <c r="W11" s="6"/>
      <c r="X11" s="6"/>
      <c r="Y11" s="2" t="s">
        <v>121</v>
      </c>
      <c r="Z11" s="4">
        <v>108.9496258</v>
      </c>
      <c r="AA11" s="6"/>
      <c r="AB11" s="6"/>
      <c r="AC11" s="2" t="s">
        <v>121</v>
      </c>
      <c r="AD11" s="4">
        <v>109.7598659</v>
      </c>
      <c r="AE11" s="6"/>
      <c r="AF11" s="6"/>
      <c r="AG11" s="2" t="s">
        <v>121</v>
      </c>
      <c r="AH11" s="4">
        <v>109.5636982</v>
      </c>
      <c r="AI11" s="6"/>
      <c r="AJ11" s="6"/>
      <c r="AK11" s="2" t="s">
        <v>121</v>
      </c>
      <c r="AL11" s="4">
        <v>120.4223088</v>
      </c>
      <c r="AM11" s="6"/>
      <c r="AN11" s="6"/>
      <c r="AO11" s="2" t="s">
        <v>121</v>
      </c>
      <c r="AP11" s="4">
        <v>120.5463155</v>
      </c>
      <c r="AQ11" s="6"/>
      <c r="AR11" s="6"/>
      <c r="AS11" s="2" t="s">
        <v>125</v>
      </c>
      <c r="AT11" s="4">
        <v>104.25114</v>
      </c>
      <c r="AU11" s="6"/>
      <c r="AV11" s="6"/>
      <c r="AW11" s="2" t="s">
        <v>121</v>
      </c>
      <c r="AX11" s="4">
        <v>110.7653898</v>
      </c>
      <c r="AY11" s="6"/>
      <c r="AZ11" s="6"/>
      <c r="BA11" s="2" t="s">
        <v>122</v>
      </c>
      <c r="BB11" s="4">
        <v>107.3757457</v>
      </c>
      <c r="BC11" s="6"/>
      <c r="BD11" s="6"/>
      <c r="BE11" s="2" t="s">
        <v>121</v>
      </c>
      <c r="BF11" s="4">
        <v>115.7393743</v>
      </c>
      <c r="BG11" s="6"/>
      <c r="BH11" s="6"/>
      <c r="BI11" s="2" t="s">
        <v>122</v>
      </c>
      <c r="BJ11" s="4">
        <v>119.9982543</v>
      </c>
      <c r="BK11" s="6"/>
      <c r="BL11" s="6"/>
      <c r="BM11" s="2" t="s">
        <v>121</v>
      </c>
      <c r="BN11" s="4">
        <v>109.1027029</v>
      </c>
      <c r="BO11" s="6"/>
      <c r="BP11" s="6"/>
      <c r="BQ11" s="2" t="s">
        <v>122</v>
      </c>
      <c r="BR11" s="4">
        <v>113.5996108</v>
      </c>
      <c r="BS11" s="6"/>
      <c r="BT11" s="6"/>
      <c r="BU11" s="2" t="s">
        <v>122</v>
      </c>
      <c r="BV11" s="4">
        <v>113.4736307</v>
      </c>
      <c r="BW11" s="6"/>
      <c r="BX11" s="6"/>
      <c r="BY11" s="2" t="s">
        <v>122</v>
      </c>
      <c r="BZ11" s="4">
        <v>103.4674456</v>
      </c>
      <c r="CA11" s="6"/>
      <c r="CB11" s="6"/>
    </row>
    <row r="12">
      <c r="A12" s="5"/>
      <c r="B12" s="5"/>
      <c r="C12" s="5"/>
      <c r="D12" s="5"/>
      <c r="E12" s="2" t="s">
        <v>120</v>
      </c>
      <c r="F12" s="4">
        <v>108.3498621</v>
      </c>
      <c r="G12" s="5"/>
      <c r="H12" s="5"/>
      <c r="I12" s="2" t="s">
        <v>120</v>
      </c>
      <c r="J12" s="4">
        <v>108.0853845</v>
      </c>
      <c r="K12" s="5"/>
      <c r="L12" s="5"/>
      <c r="M12" s="2" t="s">
        <v>121</v>
      </c>
      <c r="N12" s="4">
        <v>109.087349</v>
      </c>
      <c r="O12" s="6"/>
      <c r="P12" s="6"/>
      <c r="Q12" s="2" t="s">
        <v>121</v>
      </c>
      <c r="R12" s="4">
        <v>109.0559622</v>
      </c>
      <c r="S12" s="6"/>
      <c r="T12" s="6"/>
      <c r="U12" s="2" t="s">
        <v>121</v>
      </c>
      <c r="V12" s="4">
        <v>109.5091242</v>
      </c>
      <c r="W12" s="6"/>
      <c r="X12" s="6"/>
      <c r="Y12" s="2" t="s">
        <v>121</v>
      </c>
      <c r="Z12" s="4">
        <v>109.0744556</v>
      </c>
      <c r="AA12" s="6"/>
      <c r="AB12" s="6"/>
      <c r="AC12" s="2" t="s">
        <v>121</v>
      </c>
      <c r="AD12" s="4">
        <v>109.6268533</v>
      </c>
      <c r="AE12" s="6"/>
      <c r="AF12" s="6"/>
      <c r="AG12" s="2" t="s">
        <v>121</v>
      </c>
      <c r="AH12" s="4">
        <v>109.4084819</v>
      </c>
      <c r="AI12" s="6"/>
      <c r="AJ12" s="6"/>
      <c r="AK12" s="2" t="s">
        <v>121</v>
      </c>
      <c r="AL12" s="4">
        <v>119.5688787</v>
      </c>
      <c r="AM12" s="6"/>
      <c r="AN12" s="6"/>
      <c r="AO12" s="2" t="s">
        <v>121</v>
      </c>
      <c r="AP12" s="4">
        <v>119.4501293</v>
      </c>
      <c r="AQ12" s="6"/>
      <c r="AR12" s="6"/>
      <c r="AS12" s="2" t="s">
        <v>129</v>
      </c>
      <c r="AT12" s="4">
        <v>105.0532604</v>
      </c>
      <c r="AU12" s="6"/>
      <c r="AV12" s="6"/>
      <c r="AW12" s="2" t="s">
        <v>120</v>
      </c>
      <c r="AX12" s="4">
        <v>108.8252825</v>
      </c>
      <c r="AY12" s="6"/>
      <c r="AZ12" s="6"/>
      <c r="BA12" s="2" t="s">
        <v>121</v>
      </c>
      <c r="BB12" s="4">
        <v>125.6322083</v>
      </c>
      <c r="BC12" s="6"/>
      <c r="BD12" s="6"/>
      <c r="BE12" s="2" t="s">
        <v>122</v>
      </c>
      <c r="BF12" s="4">
        <v>119.9951051</v>
      </c>
      <c r="BG12" s="6"/>
      <c r="BH12" s="6"/>
      <c r="BI12" s="2" t="s">
        <v>122</v>
      </c>
      <c r="BJ12" s="4">
        <v>113.4070485</v>
      </c>
      <c r="BK12" s="6"/>
      <c r="BL12" s="6"/>
      <c r="BM12" s="2" t="s">
        <v>121</v>
      </c>
      <c r="BN12" s="4">
        <v>109.5614176</v>
      </c>
      <c r="BO12" s="6"/>
      <c r="BP12" s="6"/>
      <c r="BQ12" s="2" t="s">
        <v>122</v>
      </c>
      <c r="BR12" s="4">
        <v>103.417774</v>
      </c>
      <c r="BS12" s="6"/>
      <c r="BT12" s="6"/>
      <c r="BU12" s="2" t="s">
        <v>122</v>
      </c>
      <c r="BV12" s="4">
        <v>103.7860674</v>
      </c>
      <c r="BW12" s="6"/>
      <c r="BX12" s="6"/>
      <c r="BY12" s="2" t="s">
        <v>121</v>
      </c>
      <c r="BZ12" s="4">
        <v>108.6208511</v>
      </c>
      <c r="CA12" s="6"/>
      <c r="CB12" s="6"/>
    </row>
    <row r="13">
      <c r="A13" s="5"/>
      <c r="B13" s="5"/>
      <c r="C13" s="5"/>
      <c r="D13" s="5"/>
      <c r="E13" s="2" t="s">
        <v>120</v>
      </c>
      <c r="F13" s="4">
        <v>108.3484405</v>
      </c>
      <c r="G13" s="5"/>
      <c r="H13" s="5"/>
      <c r="I13" s="2" t="s">
        <v>120</v>
      </c>
      <c r="J13" s="4">
        <v>108.0891277</v>
      </c>
      <c r="K13" s="5"/>
      <c r="L13" s="5"/>
      <c r="M13" s="2" t="s">
        <v>120</v>
      </c>
      <c r="N13" s="4">
        <v>107.1949215</v>
      </c>
      <c r="O13" s="6"/>
      <c r="P13" s="6"/>
      <c r="Q13" s="2" t="s">
        <v>120</v>
      </c>
      <c r="R13" s="4">
        <v>107.2259429</v>
      </c>
      <c r="S13" s="6"/>
      <c r="T13" s="6"/>
      <c r="U13" s="2" t="s">
        <v>120</v>
      </c>
      <c r="V13" s="4">
        <v>107.1274212</v>
      </c>
      <c r="W13" s="6"/>
      <c r="X13" s="6"/>
      <c r="Y13" s="2" t="s">
        <v>120</v>
      </c>
      <c r="Z13" s="4">
        <v>106.7459166</v>
      </c>
      <c r="AA13" s="6"/>
      <c r="AB13" s="6"/>
      <c r="AC13" s="2" t="s">
        <v>120</v>
      </c>
      <c r="AD13" s="4">
        <v>107.1891791</v>
      </c>
      <c r="AE13" s="6"/>
      <c r="AF13" s="6"/>
      <c r="AG13" s="2" t="s">
        <v>120</v>
      </c>
      <c r="AH13" s="4">
        <v>107.1895369</v>
      </c>
      <c r="AI13" s="6"/>
      <c r="AJ13" s="6"/>
      <c r="AK13" s="2" t="s">
        <v>122</v>
      </c>
      <c r="AL13" s="4">
        <v>119.9983181</v>
      </c>
      <c r="AM13" s="6"/>
      <c r="AN13" s="6"/>
      <c r="AO13" s="2" t="s">
        <v>122</v>
      </c>
      <c r="AP13" s="4">
        <v>119.7459441</v>
      </c>
      <c r="AQ13" s="6"/>
      <c r="AR13" s="6"/>
      <c r="AS13" s="2" t="s">
        <v>129</v>
      </c>
      <c r="AT13" s="4">
        <v>130.3852631</v>
      </c>
      <c r="AU13" s="6"/>
      <c r="AV13" s="6"/>
      <c r="AW13" s="2" t="s">
        <v>120</v>
      </c>
      <c r="AX13" s="4">
        <v>108.7223528</v>
      </c>
      <c r="AY13" s="6"/>
      <c r="AZ13" s="6"/>
      <c r="BA13" s="2" t="s">
        <v>121</v>
      </c>
      <c r="BB13" s="4">
        <v>126.992043</v>
      </c>
      <c r="BC13" s="6"/>
      <c r="BD13" s="6"/>
      <c r="BE13" s="2" t="s">
        <v>121</v>
      </c>
      <c r="BF13" s="4">
        <v>120.7949536</v>
      </c>
      <c r="BG13" s="6"/>
      <c r="BH13" s="6"/>
      <c r="BI13" s="2" t="s">
        <v>121</v>
      </c>
      <c r="BJ13" s="4">
        <v>111.9547135</v>
      </c>
      <c r="BK13" s="6"/>
      <c r="BL13" s="6"/>
      <c r="BM13" s="2" t="s">
        <v>121</v>
      </c>
      <c r="BN13" s="4">
        <v>108.9685098</v>
      </c>
      <c r="BO13" s="6"/>
      <c r="BP13" s="6"/>
      <c r="BQ13" s="2" t="s">
        <v>121</v>
      </c>
      <c r="BR13" s="4">
        <v>108.3923182</v>
      </c>
      <c r="BS13" s="6"/>
      <c r="BT13" s="6"/>
      <c r="BU13" s="2" t="s">
        <v>121</v>
      </c>
      <c r="BV13" s="4">
        <v>108.4096987</v>
      </c>
      <c r="BW13" s="6"/>
      <c r="BX13" s="6"/>
      <c r="BY13" s="2" t="s">
        <v>122</v>
      </c>
      <c r="BZ13" s="4">
        <v>118.4485967</v>
      </c>
      <c r="CA13" s="6"/>
      <c r="CB13" s="6"/>
    </row>
    <row r="14">
      <c r="A14" s="5"/>
      <c r="B14" s="5"/>
      <c r="C14" s="5"/>
      <c r="D14" s="5"/>
      <c r="E14" s="5"/>
      <c r="F14" s="5"/>
      <c r="G14" s="5"/>
      <c r="H14" s="5"/>
      <c r="I14" s="2" t="s">
        <v>121</v>
      </c>
      <c r="J14" s="4">
        <v>110.2698503</v>
      </c>
      <c r="K14" s="5"/>
      <c r="L14" s="5"/>
      <c r="M14" s="2" t="s">
        <v>121</v>
      </c>
      <c r="N14" s="4">
        <v>111.0178761</v>
      </c>
      <c r="O14" s="6"/>
      <c r="P14" s="6"/>
      <c r="Q14" s="2" t="s">
        <v>122</v>
      </c>
      <c r="R14" s="4">
        <v>111.4992087</v>
      </c>
      <c r="S14" s="6"/>
      <c r="T14" s="6"/>
      <c r="U14" s="2" t="s">
        <v>122</v>
      </c>
      <c r="V14" s="4">
        <v>111.4971114</v>
      </c>
      <c r="W14" s="6"/>
      <c r="X14" s="6"/>
      <c r="Y14" s="2" t="s">
        <v>122</v>
      </c>
      <c r="Z14" s="4">
        <v>111.3298347</v>
      </c>
      <c r="AA14" s="6"/>
      <c r="AB14" s="6"/>
      <c r="AC14" s="2" t="s">
        <v>122</v>
      </c>
      <c r="AD14" s="4">
        <v>113.4290625</v>
      </c>
      <c r="AE14" s="6"/>
      <c r="AF14" s="6"/>
      <c r="AG14" s="2" t="s">
        <v>122</v>
      </c>
      <c r="AH14" s="4">
        <v>111.3423682</v>
      </c>
      <c r="AI14" s="6"/>
      <c r="AJ14" s="6"/>
      <c r="AK14" s="2" t="s">
        <v>121</v>
      </c>
      <c r="AL14" s="4">
        <v>121.7949708</v>
      </c>
      <c r="AM14" s="6"/>
      <c r="AN14" s="6"/>
      <c r="AO14" s="2" t="s">
        <v>121</v>
      </c>
      <c r="AP14" s="4">
        <v>120.7303516</v>
      </c>
      <c r="AQ14" s="6"/>
      <c r="AR14" s="6"/>
      <c r="AS14" s="2" t="s">
        <v>122</v>
      </c>
      <c r="AT14" s="4">
        <v>124.5614559</v>
      </c>
      <c r="AU14" s="6"/>
      <c r="AV14" s="6"/>
      <c r="AW14" s="2" t="s">
        <v>120</v>
      </c>
      <c r="AX14" s="4">
        <v>106.8965288</v>
      </c>
      <c r="AY14" s="6"/>
      <c r="AZ14" s="6"/>
      <c r="BA14" s="2" t="s">
        <v>122</v>
      </c>
      <c r="BB14" s="4">
        <v>107.372236</v>
      </c>
      <c r="BC14" s="6"/>
      <c r="BD14" s="6"/>
      <c r="BE14" s="2" t="s">
        <v>121</v>
      </c>
      <c r="BF14" s="4">
        <v>119.209941</v>
      </c>
      <c r="BG14" s="6"/>
      <c r="BH14" s="6"/>
      <c r="BI14" s="2" t="s">
        <v>121</v>
      </c>
      <c r="BJ14" s="4">
        <v>108.913284</v>
      </c>
      <c r="BK14" s="6"/>
      <c r="BL14" s="6"/>
      <c r="BM14" s="2" t="s">
        <v>120</v>
      </c>
      <c r="BN14" s="4">
        <v>105.0388661</v>
      </c>
      <c r="BO14" s="6"/>
      <c r="BP14" s="6"/>
      <c r="BQ14" s="2" t="s">
        <v>122</v>
      </c>
      <c r="BR14" s="4">
        <v>118.8881137</v>
      </c>
      <c r="BS14" s="6"/>
      <c r="BT14" s="6"/>
      <c r="BU14" s="2" t="s">
        <v>122</v>
      </c>
      <c r="BV14" s="4">
        <v>118.7733434</v>
      </c>
      <c r="BW14" s="6"/>
      <c r="BX14" s="6"/>
      <c r="BY14" s="2" t="s">
        <v>121</v>
      </c>
      <c r="BZ14" s="4">
        <v>106.5568562</v>
      </c>
      <c r="CA14" s="6"/>
      <c r="CB14" s="6"/>
    </row>
    <row r="15">
      <c r="A15" s="5"/>
      <c r="B15" s="5"/>
      <c r="C15" s="5"/>
      <c r="D15" s="5"/>
      <c r="E15" s="5"/>
      <c r="F15" s="5"/>
      <c r="G15" s="5"/>
      <c r="H15" s="5"/>
      <c r="I15" s="2" t="s">
        <v>121</v>
      </c>
      <c r="J15" s="4">
        <v>111.0010697</v>
      </c>
      <c r="K15" s="5"/>
      <c r="L15" s="5"/>
      <c r="M15" s="2" t="s">
        <v>121</v>
      </c>
      <c r="N15" s="4">
        <v>110.9962546</v>
      </c>
      <c r="O15" s="6"/>
      <c r="P15" s="6"/>
      <c r="Q15" s="2" t="s">
        <v>121</v>
      </c>
      <c r="R15" s="4">
        <v>109.8442058</v>
      </c>
      <c r="S15" s="6"/>
      <c r="T15" s="6"/>
      <c r="U15" s="2" t="s">
        <v>121</v>
      </c>
      <c r="V15" s="4">
        <v>109.8648839</v>
      </c>
      <c r="W15" s="6"/>
      <c r="X15" s="6"/>
      <c r="Y15" s="2" t="s">
        <v>121</v>
      </c>
      <c r="Z15" s="4">
        <v>109.6443031</v>
      </c>
      <c r="AA15" s="6"/>
      <c r="AB15" s="6"/>
      <c r="AC15" s="2" t="s">
        <v>121</v>
      </c>
      <c r="AD15" s="4">
        <v>109.0199303</v>
      </c>
      <c r="AE15" s="6"/>
      <c r="AF15" s="6"/>
      <c r="AG15" s="2" t="s">
        <v>121</v>
      </c>
      <c r="AH15" s="4">
        <v>109.658741</v>
      </c>
      <c r="AI15" s="6"/>
      <c r="AJ15" s="6"/>
      <c r="AK15" s="2" t="s">
        <v>121</v>
      </c>
      <c r="AL15" s="4">
        <v>118.2014297</v>
      </c>
      <c r="AM15" s="6"/>
      <c r="AN15" s="6"/>
      <c r="AO15" s="2" t="s">
        <v>121</v>
      </c>
      <c r="AP15" s="4">
        <v>119.5236929</v>
      </c>
      <c r="AQ15" s="6"/>
      <c r="AR15" s="6"/>
      <c r="AS15" s="2" t="s">
        <v>132</v>
      </c>
      <c r="AT15" s="4">
        <v>126.4039307</v>
      </c>
      <c r="AU15" s="6"/>
      <c r="AV15" s="6"/>
      <c r="AW15" s="6"/>
      <c r="AX15" s="6"/>
      <c r="AY15" s="6"/>
      <c r="AZ15" s="6"/>
      <c r="BA15" s="2" t="s">
        <v>121</v>
      </c>
      <c r="BB15" s="4">
        <v>125.6383132</v>
      </c>
      <c r="BC15" s="6"/>
      <c r="BD15" s="6"/>
      <c r="BE15" s="2" t="s">
        <v>122</v>
      </c>
      <c r="BF15" s="4">
        <v>120.0037174</v>
      </c>
      <c r="BG15" s="6"/>
      <c r="BH15" s="6"/>
      <c r="BI15" s="2" t="s">
        <v>121</v>
      </c>
      <c r="BJ15" s="4">
        <v>109.4527279</v>
      </c>
      <c r="BK15" s="6"/>
      <c r="BL15" s="6"/>
      <c r="BM15" s="2" t="s">
        <v>122</v>
      </c>
      <c r="BN15" s="4">
        <v>119.3482434</v>
      </c>
      <c r="BO15" s="6"/>
      <c r="BP15" s="6"/>
      <c r="BQ15" s="2" t="s">
        <v>121</v>
      </c>
      <c r="BR15" s="4">
        <v>106.1326174</v>
      </c>
      <c r="BS15" s="6"/>
      <c r="BT15" s="6"/>
      <c r="BU15" s="2" t="s">
        <v>121</v>
      </c>
      <c r="BV15" s="4">
        <v>106.2107828</v>
      </c>
      <c r="BW15" s="6"/>
      <c r="BX15" s="6"/>
      <c r="BY15" s="2" t="s">
        <v>121</v>
      </c>
      <c r="BZ15" s="4">
        <v>106.2284676</v>
      </c>
      <c r="CA15" s="6"/>
      <c r="CB15" s="6"/>
    </row>
    <row r="16">
      <c r="A16" s="5"/>
      <c r="B16" s="5"/>
      <c r="C16" s="5"/>
      <c r="D16" s="5"/>
      <c r="E16" s="5"/>
      <c r="F16" s="5"/>
      <c r="G16" s="5"/>
      <c r="H16" s="5"/>
      <c r="I16" s="2" t="s">
        <v>121</v>
      </c>
      <c r="J16" s="4">
        <v>111.0010697</v>
      </c>
      <c r="K16" s="5"/>
      <c r="L16" s="5"/>
      <c r="M16" s="2" t="s">
        <v>121</v>
      </c>
      <c r="N16" s="4">
        <v>110.2645974</v>
      </c>
      <c r="O16" s="6"/>
      <c r="P16" s="6"/>
      <c r="Q16" s="2" t="s">
        <v>121</v>
      </c>
      <c r="R16" s="4">
        <v>109.8842303</v>
      </c>
      <c r="S16" s="6"/>
      <c r="T16" s="6"/>
      <c r="U16" s="2" t="s">
        <v>121</v>
      </c>
      <c r="V16" s="4">
        <v>109.8720381</v>
      </c>
      <c r="W16" s="6"/>
      <c r="X16" s="6"/>
      <c r="Y16" s="2" t="s">
        <v>121</v>
      </c>
      <c r="Z16" s="4">
        <v>109.5110966</v>
      </c>
      <c r="AA16" s="6"/>
      <c r="AB16" s="6"/>
      <c r="AC16" s="2" t="s">
        <v>121</v>
      </c>
      <c r="AD16" s="4">
        <v>108.9649922</v>
      </c>
      <c r="AE16" s="6"/>
      <c r="AF16" s="6"/>
      <c r="AG16" s="2" t="s">
        <v>121</v>
      </c>
      <c r="AH16" s="4">
        <v>109.461808</v>
      </c>
      <c r="AI16" s="6"/>
      <c r="AJ16" s="6"/>
      <c r="AK16" s="2" t="s">
        <v>122</v>
      </c>
      <c r="AL16" s="4">
        <v>119.9930966</v>
      </c>
      <c r="AM16" s="6"/>
      <c r="AN16" s="6"/>
      <c r="AO16" s="2" t="s">
        <v>122</v>
      </c>
      <c r="AP16" s="4">
        <v>120.0026504</v>
      </c>
      <c r="AQ16" s="6"/>
      <c r="AR16" s="6"/>
      <c r="AS16" s="2" t="s">
        <v>129</v>
      </c>
      <c r="AT16" s="4">
        <v>121.9054136</v>
      </c>
      <c r="AU16" s="6"/>
      <c r="AV16" s="6"/>
      <c r="AW16" s="6"/>
      <c r="AX16" s="6"/>
      <c r="AY16" s="6"/>
      <c r="AZ16" s="6"/>
      <c r="BA16" s="2" t="s">
        <v>121</v>
      </c>
      <c r="BB16" s="4">
        <v>126.9894506</v>
      </c>
      <c r="BC16" s="6"/>
      <c r="BD16" s="6"/>
      <c r="BE16" s="2" t="s">
        <v>121</v>
      </c>
      <c r="BF16" s="4">
        <v>119.3510117</v>
      </c>
      <c r="BG16" s="6"/>
      <c r="BH16" s="6"/>
      <c r="BI16" s="2" t="s">
        <v>121</v>
      </c>
      <c r="BJ16" s="4">
        <v>107.0854346</v>
      </c>
      <c r="BK16" s="6"/>
      <c r="BL16" s="6"/>
      <c r="BM16" s="2" t="s">
        <v>122</v>
      </c>
      <c r="BN16" s="4">
        <v>119.3628132</v>
      </c>
      <c r="BO16" s="6"/>
      <c r="BP16" s="6"/>
      <c r="BQ16" s="2" t="s">
        <v>121</v>
      </c>
      <c r="BR16" s="4">
        <v>105.8567517</v>
      </c>
      <c r="BS16" s="6"/>
      <c r="BT16" s="6"/>
      <c r="BU16" s="2" t="s">
        <v>121</v>
      </c>
      <c r="BV16" s="4">
        <v>105.6263278</v>
      </c>
      <c r="BW16" s="6"/>
      <c r="BX16" s="6"/>
      <c r="BY16" s="2" t="s">
        <v>122</v>
      </c>
      <c r="BZ16" s="4">
        <v>109.0206367</v>
      </c>
      <c r="CA16" s="6"/>
      <c r="CB16" s="6"/>
    </row>
    <row r="17">
      <c r="A17" s="5"/>
      <c r="B17" s="5"/>
      <c r="C17" s="5"/>
      <c r="D17" s="5"/>
      <c r="E17" s="5"/>
      <c r="F17" s="5"/>
      <c r="G17" s="5"/>
      <c r="H17" s="5"/>
      <c r="I17" s="2" t="s">
        <v>120</v>
      </c>
      <c r="J17" s="4">
        <v>108.0890731</v>
      </c>
      <c r="K17" s="5"/>
      <c r="L17" s="5"/>
      <c r="M17" s="2" t="s">
        <v>120</v>
      </c>
      <c r="N17" s="4">
        <v>108.2997662</v>
      </c>
      <c r="O17" s="6"/>
      <c r="P17" s="6"/>
      <c r="Q17" s="2" t="s">
        <v>121</v>
      </c>
      <c r="R17" s="4">
        <v>109.2299111</v>
      </c>
      <c r="S17" s="6"/>
      <c r="T17" s="6"/>
      <c r="U17" s="2" t="s">
        <v>121</v>
      </c>
      <c r="V17" s="4">
        <v>109.0721745</v>
      </c>
      <c r="W17" s="6"/>
      <c r="X17" s="6"/>
      <c r="Y17" s="2" t="s">
        <v>121</v>
      </c>
      <c r="Z17" s="4">
        <v>109.6558678</v>
      </c>
      <c r="AA17" s="6"/>
      <c r="AB17" s="6"/>
      <c r="AC17" s="2" t="s">
        <v>121</v>
      </c>
      <c r="AD17" s="4">
        <v>109.0698305</v>
      </c>
      <c r="AE17" s="6"/>
      <c r="AF17" s="6"/>
      <c r="AG17" s="2" t="s">
        <v>121</v>
      </c>
      <c r="AH17" s="4">
        <v>109.4706247</v>
      </c>
      <c r="AI17" s="6"/>
      <c r="AJ17" s="6"/>
      <c r="AK17" s="2" t="s">
        <v>121</v>
      </c>
      <c r="AL17" s="4">
        <v>120.0113507</v>
      </c>
      <c r="AM17" s="6"/>
      <c r="AN17" s="6"/>
      <c r="AO17" s="2" t="s">
        <v>121</v>
      </c>
      <c r="AP17" s="4">
        <v>120.5535319</v>
      </c>
      <c r="AQ17" s="6"/>
      <c r="AR17" s="6"/>
      <c r="AS17" s="2" t="s">
        <v>129</v>
      </c>
      <c r="AT17" s="4">
        <v>111.6906484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2" t="s">
        <v>121</v>
      </c>
      <c r="BF17" s="4">
        <v>120.645265</v>
      </c>
      <c r="BG17" s="6"/>
      <c r="BH17" s="6"/>
      <c r="BI17" s="2" t="s">
        <v>120</v>
      </c>
      <c r="BJ17" s="4">
        <v>105.6159756</v>
      </c>
      <c r="BK17" s="6"/>
      <c r="BL17" s="6"/>
      <c r="BM17" s="2" t="s">
        <v>122</v>
      </c>
      <c r="BN17" s="4">
        <v>121.2889319</v>
      </c>
      <c r="BO17" s="6"/>
      <c r="BP17" s="6"/>
      <c r="BQ17" s="2" t="s">
        <v>122</v>
      </c>
      <c r="BR17" s="4">
        <v>108.8103138</v>
      </c>
      <c r="BS17" s="6"/>
      <c r="BT17" s="6"/>
      <c r="BU17" s="2" t="s">
        <v>122</v>
      </c>
      <c r="BV17" s="4">
        <v>109.097723</v>
      </c>
      <c r="BW17" s="6"/>
      <c r="BX17" s="6"/>
      <c r="BY17" s="2" t="s">
        <v>122</v>
      </c>
      <c r="BZ17" s="4">
        <v>111.1858777</v>
      </c>
      <c r="CA17" s="6"/>
      <c r="CB17" s="6"/>
    </row>
    <row r="18">
      <c r="A18" s="5"/>
      <c r="B18" s="5"/>
      <c r="C18" s="5"/>
      <c r="D18" s="5"/>
      <c r="E18" s="5"/>
      <c r="F18" s="5"/>
      <c r="G18" s="5"/>
      <c r="H18" s="5"/>
      <c r="I18" s="2" t="s">
        <v>120</v>
      </c>
      <c r="J18" s="4">
        <v>108.0890731</v>
      </c>
      <c r="K18" s="5"/>
      <c r="L18" s="5"/>
      <c r="M18" s="2" t="s">
        <v>120</v>
      </c>
      <c r="N18" s="4">
        <v>108.0749967</v>
      </c>
      <c r="O18" s="6"/>
      <c r="P18" s="6"/>
      <c r="Q18" s="2" t="s">
        <v>121</v>
      </c>
      <c r="R18" s="4">
        <v>109.060971</v>
      </c>
      <c r="S18" s="6"/>
      <c r="T18" s="6"/>
      <c r="U18" s="2" t="s">
        <v>121</v>
      </c>
      <c r="V18" s="4">
        <v>109.2146405</v>
      </c>
      <c r="W18" s="6"/>
      <c r="X18" s="6"/>
      <c r="Y18" s="2" t="s">
        <v>121</v>
      </c>
      <c r="Z18" s="4">
        <v>109.4716118</v>
      </c>
      <c r="AA18" s="6"/>
      <c r="AB18" s="6"/>
      <c r="AC18" s="2" t="s">
        <v>121</v>
      </c>
      <c r="AD18" s="4">
        <v>109.4109799</v>
      </c>
      <c r="AE18" s="6"/>
      <c r="AF18" s="6"/>
      <c r="AG18" s="2" t="s">
        <v>121</v>
      </c>
      <c r="AH18" s="4">
        <v>109.6664912</v>
      </c>
      <c r="AI18" s="6"/>
      <c r="AJ18" s="6"/>
      <c r="AK18" s="2" t="s">
        <v>121</v>
      </c>
      <c r="AL18" s="4">
        <v>119.9955287</v>
      </c>
      <c r="AM18" s="6"/>
      <c r="AN18" s="6"/>
      <c r="AO18" s="2" t="s">
        <v>121</v>
      </c>
      <c r="AP18" s="4">
        <v>119.4437976</v>
      </c>
      <c r="AQ18" s="6"/>
      <c r="AR18" s="6"/>
      <c r="AS18" s="2" t="s">
        <v>133</v>
      </c>
      <c r="AT18" s="4">
        <v>124.9063162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2" t="s">
        <v>122</v>
      </c>
      <c r="BF18" s="4">
        <v>120.0040877</v>
      </c>
      <c r="BG18" s="6"/>
      <c r="BH18" s="6"/>
      <c r="BI18" s="2" t="s">
        <v>129</v>
      </c>
      <c r="BJ18" s="4">
        <v>120.3177355</v>
      </c>
      <c r="BK18" s="6"/>
      <c r="BL18" s="6"/>
      <c r="BM18" s="2" t="s">
        <v>122</v>
      </c>
      <c r="BN18" s="4">
        <v>120.0237516</v>
      </c>
      <c r="BO18" s="6"/>
      <c r="BP18" s="6"/>
      <c r="BQ18" s="2" t="s">
        <v>122</v>
      </c>
      <c r="BR18" s="4">
        <v>110.3341014</v>
      </c>
      <c r="BS18" s="6"/>
      <c r="BT18" s="6"/>
      <c r="BU18" s="2" t="s">
        <v>122</v>
      </c>
      <c r="BV18" s="4">
        <v>110.3421439</v>
      </c>
      <c r="BW18" s="6"/>
      <c r="BX18" s="6"/>
      <c r="BY18" s="2" t="s">
        <v>121</v>
      </c>
      <c r="BZ18" s="4">
        <v>108.9601306</v>
      </c>
      <c r="CA18" s="6"/>
      <c r="CB18" s="6"/>
    </row>
    <row r="19">
      <c r="A19" s="5"/>
      <c r="B19" s="5"/>
      <c r="C19" s="5"/>
      <c r="D19" s="5"/>
      <c r="E19" s="5"/>
      <c r="F19" s="5"/>
      <c r="G19" s="5"/>
      <c r="H19" s="5"/>
      <c r="I19" s="2" t="s">
        <v>120</v>
      </c>
      <c r="J19" s="4">
        <v>108.2844195</v>
      </c>
      <c r="K19" s="5"/>
      <c r="L19" s="5"/>
      <c r="M19" s="2" t="s">
        <v>120</v>
      </c>
      <c r="N19" s="4">
        <v>108.0804917</v>
      </c>
      <c r="O19" s="6"/>
      <c r="P19" s="6"/>
      <c r="Q19" s="2" t="s">
        <v>120</v>
      </c>
      <c r="R19" s="4">
        <v>107.2198328</v>
      </c>
      <c r="S19" s="6"/>
      <c r="T19" s="6"/>
      <c r="U19" s="2" t="s">
        <v>120</v>
      </c>
      <c r="V19" s="4">
        <v>107.217392</v>
      </c>
      <c r="W19" s="6"/>
      <c r="X19" s="6"/>
      <c r="Y19" s="2" t="s">
        <v>120</v>
      </c>
      <c r="Z19" s="4">
        <v>107.133334</v>
      </c>
      <c r="AA19" s="6"/>
      <c r="AB19" s="6"/>
      <c r="AC19" s="2" t="s">
        <v>120</v>
      </c>
      <c r="AD19" s="4">
        <v>106.7280286</v>
      </c>
      <c r="AE19" s="6"/>
      <c r="AF19" s="6"/>
      <c r="AG19" s="2" t="s">
        <v>120</v>
      </c>
      <c r="AH19" s="4">
        <v>107.1463596</v>
      </c>
      <c r="AI19" s="6"/>
      <c r="AJ19" s="6"/>
      <c r="AK19" s="2" t="s">
        <v>122</v>
      </c>
      <c r="AL19" s="4">
        <v>120.0080937</v>
      </c>
      <c r="AM19" s="6"/>
      <c r="AN19" s="6"/>
      <c r="AO19" s="2" t="s">
        <v>122</v>
      </c>
      <c r="AP19" s="4">
        <v>119.7443973</v>
      </c>
      <c r="AQ19" s="6"/>
      <c r="AR19" s="6"/>
      <c r="AS19" s="2" t="s">
        <v>127</v>
      </c>
      <c r="AT19" s="4">
        <v>123.6123311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2" t="s">
        <v>121</v>
      </c>
      <c r="BF19" s="4">
        <v>119.6573389</v>
      </c>
      <c r="BG19" s="6"/>
      <c r="BH19" s="6"/>
      <c r="BI19" s="2" t="s">
        <v>129</v>
      </c>
      <c r="BJ19" s="4">
        <v>120.3290843</v>
      </c>
      <c r="BK19" s="6"/>
      <c r="BL19" s="6"/>
      <c r="BM19" s="2" t="s">
        <v>122</v>
      </c>
      <c r="BN19" s="4">
        <v>119.9863179</v>
      </c>
      <c r="BO19" s="6"/>
      <c r="BP19" s="6"/>
      <c r="BQ19" s="2" t="s">
        <v>121</v>
      </c>
      <c r="BR19" s="4">
        <v>109.9737256</v>
      </c>
      <c r="BS19" s="6"/>
      <c r="BT19" s="6"/>
      <c r="BU19" s="2" t="s">
        <v>121</v>
      </c>
      <c r="BV19" s="4">
        <v>109.3798457</v>
      </c>
      <c r="BW19" s="6"/>
      <c r="BX19" s="6"/>
      <c r="BY19" s="2" t="s">
        <v>122</v>
      </c>
      <c r="BZ19" s="4">
        <v>110.9843465</v>
      </c>
      <c r="CA19" s="6"/>
      <c r="CB19" s="6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2" t="s">
        <v>121</v>
      </c>
      <c r="N20" s="4">
        <v>111.0089188</v>
      </c>
      <c r="O20" s="6"/>
      <c r="P20" s="6"/>
      <c r="Q20" s="2" t="s">
        <v>122</v>
      </c>
      <c r="R20" s="4">
        <v>111.0131775</v>
      </c>
      <c r="S20" s="6"/>
      <c r="T20" s="6"/>
      <c r="U20" s="2" t="s">
        <v>122</v>
      </c>
      <c r="V20" s="4">
        <v>111.4989878</v>
      </c>
      <c r="W20" s="6"/>
      <c r="X20" s="6"/>
      <c r="Y20" s="2" t="s">
        <v>122</v>
      </c>
      <c r="Z20" s="4">
        <v>113.5463254</v>
      </c>
      <c r="AA20" s="6"/>
      <c r="AB20" s="6"/>
      <c r="AC20" s="2" t="s">
        <v>122</v>
      </c>
      <c r="AD20" s="4">
        <v>111.3358368</v>
      </c>
      <c r="AE20" s="6"/>
      <c r="AF20" s="6"/>
      <c r="AG20" s="2" t="s">
        <v>122</v>
      </c>
      <c r="AH20" s="4">
        <v>113.3674969</v>
      </c>
      <c r="AI20" s="6"/>
      <c r="AJ20" s="6"/>
      <c r="AK20" s="2" t="s">
        <v>121</v>
      </c>
      <c r="AL20" s="4">
        <v>120.0138351</v>
      </c>
      <c r="AM20" s="6"/>
      <c r="AN20" s="6"/>
      <c r="AO20" s="2" t="s">
        <v>121</v>
      </c>
      <c r="AP20" s="4">
        <v>120.7309655</v>
      </c>
      <c r="AQ20" s="6"/>
      <c r="AR20" s="6"/>
      <c r="AS20" s="2" t="s">
        <v>129</v>
      </c>
      <c r="AT20" s="4">
        <v>111.4812993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2" t="s">
        <v>121</v>
      </c>
      <c r="BF20" s="4">
        <v>120.3385721</v>
      </c>
      <c r="BG20" s="6"/>
      <c r="BH20" s="6"/>
      <c r="BI20" s="2" t="s">
        <v>122</v>
      </c>
      <c r="BJ20" s="4">
        <v>119.3531682</v>
      </c>
      <c r="BK20" s="6"/>
      <c r="BL20" s="6"/>
      <c r="BM20" s="2" t="s">
        <v>122</v>
      </c>
      <c r="BN20" s="4">
        <v>119.9899297</v>
      </c>
      <c r="BO20" s="6"/>
      <c r="BP20" s="6"/>
      <c r="BQ20" s="2" t="s">
        <v>122</v>
      </c>
      <c r="BR20" s="4">
        <v>110.3306963</v>
      </c>
      <c r="BS20" s="6"/>
      <c r="BT20" s="6"/>
      <c r="BU20" s="2" t="s">
        <v>122</v>
      </c>
      <c r="BV20" s="4">
        <v>111.1800256</v>
      </c>
      <c r="BW20" s="6"/>
      <c r="BX20" s="6"/>
      <c r="BY20" s="2" t="s">
        <v>121</v>
      </c>
      <c r="BZ20" s="4">
        <v>109.541078</v>
      </c>
      <c r="CA20" s="6"/>
      <c r="CB20" s="6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2" t="s">
        <v>121</v>
      </c>
      <c r="N21" s="4">
        <v>110.2620591</v>
      </c>
      <c r="O21" s="6"/>
      <c r="P21" s="6"/>
      <c r="Q21" s="2" t="s">
        <v>121</v>
      </c>
      <c r="R21" s="4">
        <v>110.991241</v>
      </c>
      <c r="S21" s="6"/>
      <c r="T21" s="6"/>
      <c r="U21" s="2" t="s">
        <v>121</v>
      </c>
      <c r="V21" s="4">
        <v>109.850094</v>
      </c>
      <c r="W21" s="6"/>
      <c r="X21" s="6"/>
      <c r="Y21" s="2" t="s">
        <v>121</v>
      </c>
      <c r="Z21" s="4">
        <v>109.31881</v>
      </c>
      <c r="AA21" s="6"/>
      <c r="AB21" s="6"/>
      <c r="AC21" s="2" t="s">
        <v>121</v>
      </c>
      <c r="AD21" s="4">
        <v>109.6745894</v>
      </c>
      <c r="AE21" s="6"/>
      <c r="AF21" s="6"/>
      <c r="AG21" s="2" t="s">
        <v>121</v>
      </c>
      <c r="AH21" s="4">
        <v>109.2992308</v>
      </c>
      <c r="AI21" s="6"/>
      <c r="AJ21" s="6"/>
      <c r="AK21" s="2" t="s">
        <v>121</v>
      </c>
      <c r="AL21" s="4">
        <v>119.9777558</v>
      </c>
      <c r="AM21" s="6"/>
      <c r="AN21" s="6"/>
      <c r="AO21" s="2" t="s">
        <v>121</v>
      </c>
      <c r="AP21" s="4">
        <v>119.5246211</v>
      </c>
      <c r="AQ21" s="6"/>
      <c r="AR21" s="6"/>
      <c r="AS21" s="2" t="s">
        <v>133</v>
      </c>
      <c r="AT21" s="4">
        <v>122.377672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2" t="s">
        <v>127</v>
      </c>
      <c r="BF21" s="4">
        <v>120.0022639</v>
      </c>
      <c r="BG21" s="6"/>
      <c r="BH21" s="6"/>
      <c r="BI21" s="2" t="s">
        <v>122</v>
      </c>
      <c r="BJ21" s="4">
        <v>120.0019371</v>
      </c>
      <c r="BK21" s="6"/>
      <c r="BL21" s="6"/>
      <c r="BM21" s="2" t="s">
        <v>122</v>
      </c>
      <c r="BN21" s="4">
        <v>113.926676</v>
      </c>
      <c r="BO21" s="6"/>
      <c r="BP21" s="6"/>
      <c r="BQ21" s="2" t="s">
        <v>121</v>
      </c>
      <c r="BR21" s="4">
        <v>109.8225887</v>
      </c>
      <c r="BS21" s="6"/>
      <c r="BT21" s="6"/>
      <c r="BU21" s="2" t="s">
        <v>121</v>
      </c>
      <c r="BV21" s="4">
        <v>109.5836998</v>
      </c>
      <c r="BW21" s="6"/>
      <c r="BX21" s="6"/>
      <c r="BY21" s="2" t="s">
        <v>121</v>
      </c>
      <c r="BZ21" s="4">
        <v>107.1037682</v>
      </c>
      <c r="CA21" s="6"/>
      <c r="CB21" s="6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2" t="s">
        <v>121</v>
      </c>
      <c r="N22" s="4">
        <v>110.9890789</v>
      </c>
      <c r="O22" s="6"/>
      <c r="P22" s="6"/>
      <c r="Q22" s="2" t="s">
        <v>121</v>
      </c>
      <c r="R22" s="4">
        <v>110.2614483</v>
      </c>
      <c r="S22" s="6"/>
      <c r="T22" s="6"/>
      <c r="U22" s="2" t="s">
        <v>121</v>
      </c>
      <c r="V22" s="4">
        <v>109.8883963</v>
      </c>
      <c r="W22" s="6"/>
      <c r="X22" s="6"/>
      <c r="Y22" s="2" t="s">
        <v>121</v>
      </c>
      <c r="Z22" s="4">
        <v>109.3080121</v>
      </c>
      <c r="AA22" s="6"/>
      <c r="AB22" s="6"/>
      <c r="AC22" s="2" t="s">
        <v>121</v>
      </c>
      <c r="AD22" s="4">
        <v>109.4862759</v>
      </c>
      <c r="AE22" s="6"/>
      <c r="AF22" s="6"/>
      <c r="AG22" s="2" t="s">
        <v>121</v>
      </c>
      <c r="AH22" s="4">
        <v>109.2098165</v>
      </c>
      <c r="AI22" s="6"/>
      <c r="AJ22" s="6"/>
      <c r="AK22" s="2" t="s">
        <v>134</v>
      </c>
      <c r="AL22" s="4">
        <v>121.8294915</v>
      </c>
      <c r="AM22" s="6"/>
      <c r="AN22" s="6"/>
      <c r="AO22" s="2" t="s">
        <v>122</v>
      </c>
      <c r="AP22" s="4">
        <v>119.9964896</v>
      </c>
      <c r="AQ22" s="6"/>
      <c r="AR22" s="6"/>
      <c r="AS22" s="2" t="s">
        <v>133</v>
      </c>
      <c r="AT22" s="4">
        <v>121.8200045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2" t="s">
        <v>127</v>
      </c>
      <c r="BF22" s="4">
        <v>119.9965964</v>
      </c>
      <c r="BG22" s="6"/>
      <c r="BH22" s="6"/>
      <c r="BI22" s="2" t="s">
        <v>121</v>
      </c>
      <c r="BJ22" s="4">
        <v>120.8637764</v>
      </c>
      <c r="BK22" s="6"/>
      <c r="BL22" s="6"/>
      <c r="BM22" s="2" t="s">
        <v>122</v>
      </c>
      <c r="BN22" s="4">
        <v>112.7917327</v>
      </c>
      <c r="BO22" s="6"/>
      <c r="BP22" s="6"/>
      <c r="BQ22" s="2" t="s">
        <v>121</v>
      </c>
      <c r="BR22" s="4">
        <v>107.5619978</v>
      </c>
      <c r="BS22" s="6"/>
      <c r="BT22" s="6"/>
      <c r="BU22" s="2" t="s">
        <v>121</v>
      </c>
      <c r="BV22" s="4">
        <v>107.2253448</v>
      </c>
      <c r="BW22" s="6"/>
      <c r="BX22" s="6"/>
      <c r="BY22" s="2" t="s">
        <v>122</v>
      </c>
      <c r="BZ22" s="4">
        <v>112.763247</v>
      </c>
      <c r="CA22" s="6"/>
      <c r="CB22" s="6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2" t="s">
        <v>120</v>
      </c>
      <c r="N23" s="4">
        <v>108.0803439</v>
      </c>
      <c r="O23" s="6"/>
      <c r="P23" s="6"/>
      <c r="Q23" s="2" t="s">
        <v>121</v>
      </c>
      <c r="R23" s="4">
        <v>108.3072443</v>
      </c>
      <c r="S23" s="6"/>
      <c r="T23" s="6"/>
      <c r="U23" s="2" t="s">
        <v>121</v>
      </c>
      <c r="V23" s="4">
        <v>109.2237034</v>
      </c>
      <c r="W23" s="6"/>
      <c r="X23" s="6"/>
      <c r="Y23" s="2" t="s">
        <v>121</v>
      </c>
      <c r="Z23" s="4">
        <v>108.8609678</v>
      </c>
      <c r="AA23" s="6"/>
      <c r="AB23" s="6"/>
      <c r="AC23" s="2" t="s">
        <v>121</v>
      </c>
      <c r="AD23" s="4">
        <v>109.4621606</v>
      </c>
      <c r="AE23" s="6"/>
      <c r="AF23" s="6"/>
      <c r="AG23" s="2" t="s">
        <v>121</v>
      </c>
      <c r="AH23" s="4">
        <v>109.0870477</v>
      </c>
      <c r="AI23" s="6"/>
      <c r="AJ23" s="6"/>
      <c r="AK23" s="2" t="s">
        <v>127</v>
      </c>
      <c r="AL23" s="4">
        <v>111.8786681</v>
      </c>
      <c r="AM23" s="6"/>
      <c r="AN23" s="6"/>
      <c r="AO23" s="2" t="s">
        <v>121</v>
      </c>
      <c r="AP23" s="4">
        <v>120.0000124</v>
      </c>
      <c r="AQ23" s="6"/>
      <c r="AR23" s="6"/>
      <c r="AS23" s="2" t="s">
        <v>132</v>
      </c>
      <c r="AT23" s="4">
        <v>115.802313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2" t="s">
        <v>122</v>
      </c>
      <c r="BF23" s="4">
        <v>120.0010941</v>
      </c>
      <c r="BG23" s="6"/>
      <c r="BH23" s="6"/>
      <c r="BI23" s="2" t="s">
        <v>121</v>
      </c>
      <c r="BJ23" s="4">
        <v>119.1340559</v>
      </c>
      <c r="BK23" s="6"/>
      <c r="BL23" s="6"/>
      <c r="BM23" s="2" t="s">
        <v>121</v>
      </c>
      <c r="BN23" s="4">
        <v>108.6703792</v>
      </c>
      <c r="BO23" s="6"/>
      <c r="BP23" s="6"/>
      <c r="BQ23" s="2" t="s">
        <v>122</v>
      </c>
      <c r="BR23" s="4">
        <v>112.912591</v>
      </c>
      <c r="BS23" s="6"/>
      <c r="BT23" s="6"/>
      <c r="BU23" s="2" t="s">
        <v>135</v>
      </c>
      <c r="BV23" s="4">
        <v>105.657072</v>
      </c>
      <c r="BW23" s="6"/>
      <c r="BX23" s="6"/>
      <c r="BY23" s="2" t="s">
        <v>122</v>
      </c>
      <c r="BZ23" s="4">
        <v>109.0265317</v>
      </c>
      <c r="CA23" s="6"/>
      <c r="CB23" s="6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2" t="s">
        <v>120</v>
      </c>
      <c r="N24" s="4">
        <v>108.3078805</v>
      </c>
      <c r="O24" s="6"/>
      <c r="P24" s="6"/>
      <c r="Q24" s="2" t="s">
        <v>121</v>
      </c>
      <c r="R24" s="4">
        <v>108.0704196</v>
      </c>
      <c r="S24" s="6"/>
      <c r="T24" s="6"/>
      <c r="U24" s="2" t="s">
        <v>121</v>
      </c>
      <c r="V24" s="4">
        <v>109.0522244</v>
      </c>
      <c r="W24" s="6"/>
      <c r="X24" s="6"/>
      <c r="Y24" s="2" t="s">
        <v>121</v>
      </c>
      <c r="Z24" s="4">
        <v>108.7537653</v>
      </c>
      <c r="AA24" s="6"/>
      <c r="AB24" s="6"/>
      <c r="AC24" s="2" t="s">
        <v>121</v>
      </c>
      <c r="AD24" s="4">
        <v>109.6608387</v>
      </c>
      <c r="AE24" s="6"/>
      <c r="AF24" s="6"/>
      <c r="AG24" s="2" t="s">
        <v>121</v>
      </c>
      <c r="AH24" s="4">
        <v>108.9170213</v>
      </c>
      <c r="AI24" s="6"/>
      <c r="AJ24" s="6"/>
      <c r="AK24" s="2" t="s">
        <v>127</v>
      </c>
      <c r="AL24" s="4">
        <v>126.2918402</v>
      </c>
      <c r="AM24" s="6"/>
      <c r="AN24" s="6"/>
      <c r="AO24" s="2" t="s">
        <v>121</v>
      </c>
      <c r="AP24" s="4">
        <v>120.0034978</v>
      </c>
      <c r="AQ24" s="6"/>
      <c r="AR24" s="6"/>
      <c r="AS24" s="2" t="s">
        <v>132</v>
      </c>
      <c r="AT24" s="4">
        <v>112.0487672</v>
      </c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2" t="s">
        <v>133</v>
      </c>
      <c r="BF24" s="4">
        <v>127.4398233</v>
      </c>
      <c r="BG24" s="6"/>
      <c r="BH24" s="6"/>
      <c r="BI24" s="2" t="s">
        <v>122</v>
      </c>
      <c r="BJ24" s="4">
        <v>120.0013323</v>
      </c>
      <c r="BK24" s="6"/>
      <c r="BL24" s="6"/>
      <c r="BM24" s="2" t="s">
        <v>122</v>
      </c>
      <c r="BN24" s="4">
        <v>108.1952957</v>
      </c>
      <c r="BO24" s="6"/>
      <c r="BP24" s="6"/>
      <c r="BQ24" s="2" t="s">
        <v>122</v>
      </c>
      <c r="BR24" s="4">
        <v>112.4304232</v>
      </c>
      <c r="BS24" s="6"/>
      <c r="BT24" s="6"/>
      <c r="BU24" s="2" t="s">
        <v>135</v>
      </c>
      <c r="BV24" s="4">
        <v>104.4377644</v>
      </c>
      <c r="BW24" s="6"/>
      <c r="BX24" s="6"/>
      <c r="BY24" s="2" t="s">
        <v>121</v>
      </c>
      <c r="BZ24" s="4">
        <v>107.3782496</v>
      </c>
      <c r="CA24" s="6"/>
      <c r="CB24" s="6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2" t="s">
        <v>120</v>
      </c>
      <c r="N25" s="4">
        <v>108.0865787</v>
      </c>
      <c r="O25" s="6"/>
      <c r="P25" s="6"/>
      <c r="Q25" s="2" t="s">
        <v>120</v>
      </c>
      <c r="R25" s="4">
        <v>108.091025</v>
      </c>
      <c r="S25" s="6"/>
      <c r="T25" s="6"/>
      <c r="U25" s="2" t="s">
        <v>120</v>
      </c>
      <c r="V25" s="4">
        <v>107.2250089</v>
      </c>
      <c r="W25" s="6"/>
      <c r="X25" s="6"/>
      <c r="Y25" s="2" t="s">
        <v>120</v>
      </c>
      <c r="Z25" s="4">
        <v>106.8342609</v>
      </c>
      <c r="AA25" s="6"/>
      <c r="AB25" s="6"/>
      <c r="AC25" s="2" t="s">
        <v>120</v>
      </c>
      <c r="AD25" s="4">
        <v>107.1262094</v>
      </c>
      <c r="AE25" s="6"/>
      <c r="AF25" s="6"/>
      <c r="AG25" s="2" t="s">
        <v>120</v>
      </c>
      <c r="AH25" s="4">
        <v>106.746808</v>
      </c>
      <c r="AI25" s="6"/>
      <c r="AJ25" s="6"/>
      <c r="AK25" s="2" t="s">
        <v>134</v>
      </c>
      <c r="AL25" s="4">
        <v>125.8291864</v>
      </c>
      <c r="AM25" s="6"/>
      <c r="AN25" s="6"/>
      <c r="AO25" s="2" t="s">
        <v>122</v>
      </c>
      <c r="AP25" s="4">
        <v>119.9942493</v>
      </c>
      <c r="AQ25" s="6"/>
      <c r="AR25" s="6"/>
      <c r="AS25" s="2" t="s">
        <v>131</v>
      </c>
      <c r="AT25" s="4">
        <v>122.5042652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2" t="s">
        <v>127</v>
      </c>
      <c r="BF25" s="4">
        <v>120.7963581</v>
      </c>
      <c r="BG25" s="6"/>
      <c r="BH25" s="6"/>
      <c r="BI25" s="2" t="s">
        <v>121</v>
      </c>
      <c r="BJ25" s="4">
        <v>121.6368792</v>
      </c>
      <c r="BK25" s="6"/>
      <c r="BL25" s="6"/>
      <c r="BM25" s="2" t="s">
        <v>121</v>
      </c>
      <c r="BN25" s="4">
        <v>107.4700805</v>
      </c>
      <c r="BO25" s="6"/>
      <c r="BP25" s="6"/>
      <c r="BQ25" s="2" t="s">
        <v>121</v>
      </c>
      <c r="BR25" s="4">
        <v>104.8041508</v>
      </c>
      <c r="BS25" s="6"/>
      <c r="BT25" s="6"/>
      <c r="BU25" s="2" t="s">
        <v>135</v>
      </c>
      <c r="BV25" s="4">
        <v>105.5482993</v>
      </c>
      <c r="BW25" s="6"/>
      <c r="BX25" s="6"/>
      <c r="BY25" s="2" t="s">
        <v>122</v>
      </c>
      <c r="BZ25" s="4">
        <v>116.3475841</v>
      </c>
      <c r="CA25" s="6"/>
      <c r="CB25" s="6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6"/>
      <c r="P26" s="6"/>
      <c r="Q26" s="2" t="s">
        <v>121</v>
      </c>
      <c r="R26" s="4">
        <v>111.0094654</v>
      </c>
      <c r="S26" s="6"/>
      <c r="T26" s="6"/>
      <c r="U26" s="2" t="s">
        <v>121</v>
      </c>
      <c r="V26" s="4">
        <v>110.9941739</v>
      </c>
      <c r="W26" s="6"/>
      <c r="X26" s="6"/>
      <c r="Y26" s="2" t="s">
        <v>122</v>
      </c>
      <c r="Z26" s="4">
        <v>111.4939865</v>
      </c>
      <c r="AA26" s="6"/>
      <c r="AB26" s="6"/>
      <c r="AC26" s="2" t="s">
        <v>122</v>
      </c>
      <c r="AD26" s="4">
        <v>111.3724509</v>
      </c>
      <c r="AE26" s="6"/>
      <c r="AF26" s="6"/>
      <c r="AG26" s="2" t="s">
        <v>122</v>
      </c>
      <c r="AH26" s="4">
        <v>111.3127736</v>
      </c>
      <c r="AI26" s="6"/>
      <c r="AJ26" s="6"/>
      <c r="AK26" s="2" t="s">
        <v>127</v>
      </c>
      <c r="AL26" s="4">
        <v>109.9598999</v>
      </c>
      <c r="AM26" s="6"/>
      <c r="AN26" s="6"/>
      <c r="AO26" s="2" t="s">
        <v>121</v>
      </c>
      <c r="AP26" s="4">
        <v>120.0053166</v>
      </c>
      <c r="AQ26" s="6"/>
      <c r="AR26" s="6"/>
      <c r="AS26" s="2" t="s">
        <v>131</v>
      </c>
      <c r="AT26" s="4">
        <v>125.4469676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2" t="s">
        <v>129</v>
      </c>
      <c r="BF26" s="4">
        <v>111.7635401</v>
      </c>
      <c r="BG26" s="6"/>
      <c r="BH26" s="6"/>
      <c r="BI26" s="2" t="s">
        <v>121</v>
      </c>
      <c r="BJ26" s="4">
        <v>118.3617844</v>
      </c>
      <c r="BK26" s="6"/>
      <c r="BL26" s="6"/>
      <c r="BM26" s="2" t="s">
        <v>121</v>
      </c>
      <c r="BN26" s="4">
        <v>105.3089368</v>
      </c>
      <c r="BO26" s="6"/>
      <c r="BP26" s="6"/>
      <c r="BQ26" s="2" t="s">
        <v>122</v>
      </c>
      <c r="BR26" s="4">
        <v>115.5307821</v>
      </c>
      <c r="BS26" s="6"/>
      <c r="BT26" s="6"/>
      <c r="BU26" s="2" t="s">
        <v>122</v>
      </c>
      <c r="BV26" s="4">
        <v>112.0614528</v>
      </c>
      <c r="BW26" s="6"/>
      <c r="BX26" s="6"/>
      <c r="BY26" s="2" t="s">
        <v>121</v>
      </c>
      <c r="BZ26" s="4">
        <v>106.5957546</v>
      </c>
      <c r="CA26" s="6"/>
      <c r="CB26" s="6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6"/>
      <c r="P27" s="6"/>
      <c r="Q27" s="2" t="s">
        <v>121</v>
      </c>
      <c r="R27" s="4">
        <v>110.2605041</v>
      </c>
      <c r="S27" s="6"/>
      <c r="T27" s="6"/>
      <c r="U27" s="2" t="s">
        <v>121</v>
      </c>
      <c r="V27" s="4">
        <v>110.2652031</v>
      </c>
      <c r="W27" s="6"/>
      <c r="X27" s="6"/>
      <c r="Y27" s="2" t="s">
        <v>121</v>
      </c>
      <c r="Z27" s="4">
        <v>109.8361031</v>
      </c>
      <c r="AA27" s="6"/>
      <c r="AB27" s="6"/>
      <c r="AC27" s="2" t="s">
        <v>121</v>
      </c>
      <c r="AD27" s="4">
        <v>109.7588099</v>
      </c>
      <c r="AE27" s="6"/>
      <c r="AF27" s="6"/>
      <c r="AG27" s="2" t="s">
        <v>121</v>
      </c>
      <c r="AH27" s="4">
        <v>109.6636825</v>
      </c>
      <c r="AI27" s="6"/>
      <c r="AJ27" s="6"/>
      <c r="AK27" s="2" t="s">
        <v>127</v>
      </c>
      <c r="AL27" s="4">
        <v>124.2108327</v>
      </c>
      <c r="AM27" s="6"/>
      <c r="AN27" s="6"/>
      <c r="AO27" s="2" t="s">
        <v>121</v>
      </c>
      <c r="AP27" s="4">
        <v>120.0004324</v>
      </c>
      <c r="AQ27" s="6"/>
      <c r="AR27" s="6"/>
      <c r="AS27" s="2" t="s">
        <v>131</v>
      </c>
      <c r="AT27" s="4">
        <v>108.9200622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2" t="s">
        <v>121</v>
      </c>
      <c r="BF27" s="4">
        <v>109.7399684</v>
      </c>
      <c r="BG27" s="6"/>
      <c r="BH27" s="6"/>
      <c r="BI27" s="2" t="s">
        <v>122</v>
      </c>
      <c r="BJ27" s="4">
        <v>120.0029987</v>
      </c>
      <c r="BK27" s="6"/>
      <c r="BL27" s="6"/>
      <c r="BM27" s="2" t="s">
        <v>121</v>
      </c>
      <c r="BN27" s="4">
        <v>112.7155029</v>
      </c>
      <c r="BO27" s="6"/>
      <c r="BP27" s="6"/>
      <c r="BQ27" s="2" t="s">
        <v>121</v>
      </c>
      <c r="BR27" s="4">
        <v>105.5066816</v>
      </c>
      <c r="BS27" s="6"/>
      <c r="BT27" s="6"/>
      <c r="BU27" s="2" t="s">
        <v>122</v>
      </c>
      <c r="BV27" s="4">
        <v>112.0254197</v>
      </c>
      <c r="BW27" s="6"/>
      <c r="BX27" s="6"/>
      <c r="BY27" s="2" t="s">
        <v>121</v>
      </c>
      <c r="BZ27" s="4">
        <v>103.9639742</v>
      </c>
      <c r="CA27" s="6"/>
      <c r="CB27" s="6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6"/>
      <c r="P28" s="6"/>
      <c r="Q28" s="2" t="s">
        <v>121</v>
      </c>
      <c r="R28" s="4">
        <v>110.9879399</v>
      </c>
      <c r="S28" s="6"/>
      <c r="T28" s="6"/>
      <c r="U28" s="2" t="s">
        <v>121</v>
      </c>
      <c r="V28" s="4">
        <v>111.0089876</v>
      </c>
      <c r="W28" s="6"/>
      <c r="X28" s="6"/>
      <c r="Y28" s="2" t="s">
        <v>121</v>
      </c>
      <c r="Z28" s="4">
        <v>109.8880885</v>
      </c>
      <c r="AA28" s="6"/>
      <c r="AB28" s="6"/>
      <c r="AC28" s="2" t="s">
        <v>121</v>
      </c>
      <c r="AD28" s="4">
        <v>109.7959568</v>
      </c>
      <c r="AE28" s="6"/>
      <c r="AF28" s="6"/>
      <c r="AG28" s="2" t="s">
        <v>121</v>
      </c>
      <c r="AH28" s="4">
        <v>109.4999262</v>
      </c>
      <c r="AI28" s="6"/>
      <c r="AJ28" s="6"/>
      <c r="AK28" s="2" t="s">
        <v>121</v>
      </c>
      <c r="AL28" s="4">
        <v>109.739182</v>
      </c>
      <c r="AM28" s="6"/>
      <c r="AN28" s="6"/>
      <c r="AO28" s="2" t="s">
        <v>122</v>
      </c>
      <c r="AP28" s="4">
        <v>119.9965608</v>
      </c>
      <c r="AQ28" s="6"/>
      <c r="AR28" s="6"/>
      <c r="AS28" s="2" t="s">
        <v>131</v>
      </c>
      <c r="AT28" s="4">
        <v>111.6904491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2" t="s">
        <v>121</v>
      </c>
      <c r="BF28" s="4">
        <v>109.8232725</v>
      </c>
      <c r="BG28" s="6"/>
      <c r="BH28" s="6"/>
      <c r="BI28" s="2" t="s">
        <v>121</v>
      </c>
      <c r="BJ28" s="4">
        <v>120.0123375</v>
      </c>
      <c r="BK28" s="6"/>
      <c r="BL28" s="6"/>
      <c r="BM28" s="2" t="s">
        <v>121</v>
      </c>
      <c r="BN28" s="4">
        <v>111.0034439</v>
      </c>
      <c r="BO28" s="6"/>
      <c r="BP28" s="6"/>
      <c r="BQ28" s="2" t="s">
        <v>121</v>
      </c>
      <c r="BR28" s="4">
        <v>104.3873089</v>
      </c>
      <c r="BS28" s="6"/>
      <c r="BT28" s="6"/>
      <c r="BU28" s="2" t="s">
        <v>122</v>
      </c>
      <c r="BV28" s="4">
        <v>116.0225479</v>
      </c>
      <c r="BW28" s="6"/>
      <c r="BX28" s="6"/>
      <c r="BY28" s="2" t="s">
        <v>127</v>
      </c>
      <c r="BZ28" s="4">
        <v>112.6341183</v>
      </c>
      <c r="CA28" s="6"/>
      <c r="CB28" s="6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  <c r="P29" s="6"/>
      <c r="Q29" s="2" t="s">
        <v>120</v>
      </c>
      <c r="R29" s="4">
        <v>108.0831433</v>
      </c>
      <c r="S29" s="6"/>
      <c r="T29" s="6"/>
      <c r="U29" s="2" t="s">
        <v>120</v>
      </c>
      <c r="V29" s="4">
        <v>108.0801981</v>
      </c>
      <c r="W29" s="6"/>
      <c r="X29" s="6"/>
      <c r="Y29" s="2" t="s">
        <v>121</v>
      </c>
      <c r="Z29" s="4">
        <v>109.2333975</v>
      </c>
      <c r="AA29" s="6"/>
      <c r="AB29" s="6"/>
      <c r="AC29" s="2" t="s">
        <v>121</v>
      </c>
      <c r="AD29" s="4">
        <v>109.2615704</v>
      </c>
      <c r="AE29" s="6"/>
      <c r="AF29" s="6"/>
      <c r="AG29" s="2" t="s">
        <v>121</v>
      </c>
      <c r="AH29" s="4">
        <v>109.6356669</v>
      </c>
      <c r="AI29" s="6"/>
      <c r="AJ29" s="6"/>
      <c r="AK29" s="2" t="s">
        <v>121</v>
      </c>
      <c r="AL29" s="4">
        <v>109.3804633</v>
      </c>
      <c r="AM29" s="6"/>
      <c r="AN29" s="6"/>
      <c r="AO29" s="2" t="s">
        <v>121</v>
      </c>
      <c r="AP29" s="4">
        <v>120.0035813</v>
      </c>
      <c r="AQ29" s="6"/>
      <c r="AR29" s="6"/>
      <c r="AS29" s="2" t="s">
        <v>131</v>
      </c>
      <c r="AT29" s="4">
        <v>108.9147482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2" t="s">
        <v>121</v>
      </c>
      <c r="BF29" s="4">
        <v>109.8423193</v>
      </c>
      <c r="BG29" s="6"/>
      <c r="BH29" s="6"/>
      <c r="BI29" s="2" t="s">
        <v>121</v>
      </c>
      <c r="BJ29" s="4">
        <v>119.9846434</v>
      </c>
      <c r="BK29" s="6"/>
      <c r="BL29" s="6"/>
      <c r="BM29" s="2" t="s">
        <v>121</v>
      </c>
      <c r="BN29" s="4">
        <v>109.8744116</v>
      </c>
      <c r="BO29" s="6"/>
      <c r="BP29" s="6"/>
      <c r="BQ29" s="2" t="s">
        <v>127</v>
      </c>
      <c r="BR29" s="4">
        <v>111.2238419</v>
      </c>
      <c r="BS29" s="6"/>
      <c r="BT29" s="6"/>
      <c r="BU29" s="2" t="s">
        <v>127</v>
      </c>
      <c r="BV29" s="4">
        <v>110.5383724</v>
      </c>
      <c r="BW29" s="6"/>
      <c r="BX29" s="6"/>
      <c r="BY29" s="2" t="s">
        <v>127</v>
      </c>
      <c r="BZ29" s="4">
        <v>107.8396119</v>
      </c>
      <c r="CA29" s="6"/>
      <c r="CB29" s="6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6"/>
      <c r="P30" s="6"/>
      <c r="Q30" s="2" t="s">
        <v>120</v>
      </c>
      <c r="R30" s="4">
        <v>108.3087856</v>
      </c>
      <c r="S30" s="6"/>
      <c r="T30" s="6"/>
      <c r="U30" s="2" t="s">
        <v>120</v>
      </c>
      <c r="V30" s="4">
        <v>108.3110827</v>
      </c>
      <c r="W30" s="6"/>
      <c r="X30" s="6"/>
      <c r="Y30" s="2" t="s">
        <v>121</v>
      </c>
      <c r="Z30" s="4">
        <v>109.0647802</v>
      </c>
      <c r="AA30" s="6"/>
      <c r="AB30" s="6"/>
      <c r="AC30" s="2" t="s">
        <v>121</v>
      </c>
      <c r="AD30" s="4">
        <v>109.2912899</v>
      </c>
      <c r="AE30" s="6"/>
      <c r="AF30" s="6"/>
      <c r="AG30" s="2" t="s">
        <v>121</v>
      </c>
      <c r="AH30" s="4">
        <v>109.5076743</v>
      </c>
      <c r="AI30" s="6"/>
      <c r="AJ30" s="6"/>
      <c r="AK30" s="2" t="s">
        <v>121</v>
      </c>
      <c r="AL30" s="4">
        <v>109.704873</v>
      </c>
      <c r="AM30" s="6"/>
      <c r="AN30" s="6"/>
      <c r="AO30" s="2" t="s">
        <v>121</v>
      </c>
      <c r="AP30" s="4">
        <v>119.9998579</v>
      </c>
      <c r="AQ30" s="6"/>
      <c r="AR30" s="6"/>
      <c r="AS30" s="2" t="s">
        <v>120</v>
      </c>
      <c r="AT30" s="4">
        <v>108.8128257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2" t="s">
        <v>120</v>
      </c>
      <c r="BF30" s="4">
        <v>108.9842751</v>
      </c>
      <c r="BG30" s="6"/>
      <c r="BH30" s="6"/>
      <c r="BI30" s="2" t="s">
        <v>122</v>
      </c>
      <c r="BJ30" s="4">
        <v>119.9969346</v>
      </c>
      <c r="BK30" s="6"/>
      <c r="BL30" s="6"/>
      <c r="BM30" s="2" t="s">
        <v>120</v>
      </c>
      <c r="BN30" s="4">
        <v>108.81834</v>
      </c>
      <c r="BO30" s="6"/>
      <c r="BP30" s="6"/>
      <c r="BQ30" s="2" t="s">
        <v>127</v>
      </c>
      <c r="BR30" s="4">
        <v>109.2653413</v>
      </c>
      <c r="BS30" s="6"/>
      <c r="BT30" s="6"/>
      <c r="BU30" s="2" t="s">
        <v>127</v>
      </c>
      <c r="BV30" s="4">
        <v>111.8332389</v>
      </c>
      <c r="BW30" s="6"/>
      <c r="BX30" s="6"/>
      <c r="BY30" s="2" t="s">
        <v>127</v>
      </c>
      <c r="BZ30" s="4">
        <v>104.6336287</v>
      </c>
      <c r="CA30" s="6"/>
      <c r="CB30" s="6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6"/>
      <c r="P31" s="6"/>
      <c r="Q31" s="2" t="s">
        <v>120</v>
      </c>
      <c r="R31" s="4">
        <v>108.0851116</v>
      </c>
      <c r="S31" s="6"/>
      <c r="T31" s="6"/>
      <c r="U31" s="2" t="s">
        <v>120</v>
      </c>
      <c r="V31" s="4">
        <v>108.0747634</v>
      </c>
      <c r="W31" s="6"/>
      <c r="X31" s="6"/>
      <c r="Y31" s="2" t="s">
        <v>120</v>
      </c>
      <c r="Z31" s="4">
        <v>107.2223939</v>
      </c>
      <c r="AA31" s="6"/>
      <c r="AB31" s="6"/>
      <c r="AC31" s="2" t="s">
        <v>120</v>
      </c>
      <c r="AD31" s="4">
        <v>107.2673319</v>
      </c>
      <c r="AE31" s="6"/>
      <c r="AF31" s="6"/>
      <c r="AG31" s="2" t="s">
        <v>120</v>
      </c>
      <c r="AH31" s="4">
        <v>107.1268245</v>
      </c>
      <c r="AI31" s="6"/>
      <c r="AJ31" s="6"/>
      <c r="AK31" s="2" t="s">
        <v>120</v>
      </c>
      <c r="AL31" s="4">
        <v>108.6443114</v>
      </c>
      <c r="AM31" s="6"/>
      <c r="AN31" s="6"/>
      <c r="AO31" s="2" t="s">
        <v>122</v>
      </c>
      <c r="AP31" s="4">
        <v>119.994324</v>
      </c>
      <c r="AQ31" s="6"/>
      <c r="AR31" s="6"/>
      <c r="AS31" s="2" t="s">
        <v>120</v>
      </c>
      <c r="AT31" s="4">
        <v>109.6732314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2" t="s">
        <v>120</v>
      </c>
      <c r="BF31" s="4">
        <v>109.5378235</v>
      </c>
      <c r="BG31" s="6"/>
      <c r="BH31" s="6"/>
      <c r="BI31" s="2" t="s">
        <v>121</v>
      </c>
      <c r="BJ31" s="4">
        <v>120.0214699</v>
      </c>
      <c r="BK31" s="6"/>
      <c r="BL31" s="6"/>
      <c r="BM31" s="2" t="s">
        <v>120</v>
      </c>
      <c r="BN31" s="4">
        <v>106.8798349</v>
      </c>
      <c r="BO31" s="6"/>
      <c r="BP31" s="6"/>
      <c r="BQ31" s="2" t="s">
        <v>127</v>
      </c>
      <c r="BR31" s="4">
        <v>104.889456</v>
      </c>
      <c r="BS31" s="6"/>
      <c r="BT31" s="6"/>
      <c r="BU31" s="2" t="s">
        <v>127</v>
      </c>
      <c r="BV31" s="4">
        <v>104.5237027</v>
      </c>
      <c r="BW31" s="6"/>
      <c r="BX31" s="6"/>
      <c r="BY31" s="2" t="s">
        <v>122</v>
      </c>
      <c r="BZ31" s="4">
        <v>104.2485447</v>
      </c>
      <c r="CA31" s="6"/>
      <c r="CB31" s="6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/>
      <c r="P32" s="6"/>
      <c r="Q32" s="6"/>
      <c r="R32" s="6"/>
      <c r="S32" s="6"/>
      <c r="T32" s="6"/>
      <c r="U32" s="2" t="s">
        <v>121</v>
      </c>
      <c r="V32" s="4">
        <v>111.009655</v>
      </c>
      <c r="W32" s="6"/>
      <c r="X32" s="6"/>
      <c r="Y32" s="2" t="s">
        <v>121</v>
      </c>
      <c r="Z32" s="4">
        <v>110.3530356</v>
      </c>
      <c r="AA32" s="6"/>
      <c r="AB32" s="6"/>
      <c r="AC32" s="2" t="s">
        <v>122</v>
      </c>
      <c r="AD32" s="4">
        <v>111.4932564</v>
      </c>
      <c r="AE32" s="6"/>
      <c r="AF32" s="6"/>
      <c r="AG32" s="2" t="s">
        <v>122</v>
      </c>
      <c r="AH32" s="4">
        <v>113.5451154</v>
      </c>
      <c r="AI32" s="6"/>
      <c r="AJ32" s="6"/>
      <c r="AK32" s="2" t="s">
        <v>120</v>
      </c>
      <c r="AL32" s="4">
        <v>110.6690674</v>
      </c>
      <c r="AM32" s="6"/>
      <c r="AN32" s="6"/>
      <c r="AO32" s="2" t="s">
        <v>121</v>
      </c>
      <c r="AP32" s="4">
        <v>120.009695</v>
      </c>
      <c r="AQ32" s="6"/>
      <c r="AR32" s="6"/>
      <c r="AS32" s="2" t="s">
        <v>120</v>
      </c>
      <c r="AT32" s="4">
        <v>108.8107968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2" t="s">
        <v>120</v>
      </c>
      <c r="BF32" s="4">
        <v>108.8930469</v>
      </c>
      <c r="BG32" s="6"/>
      <c r="BH32" s="6"/>
      <c r="BI32" s="2" t="s">
        <v>121</v>
      </c>
      <c r="BJ32" s="4">
        <v>119.9815914</v>
      </c>
      <c r="BK32" s="6"/>
      <c r="BL32" s="6"/>
      <c r="BM32" s="2" t="s">
        <v>120</v>
      </c>
      <c r="BN32" s="4">
        <v>107.3258421</v>
      </c>
      <c r="BO32" s="6"/>
      <c r="BP32" s="6"/>
      <c r="BQ32" s="2" t="s">
        <v>122</v>
      </c>
      <c r="BR32" s="4">
        <v>104.2167846</v>
      </c>
      <c r="BS32" s="6"/>
      <c r="BT32" s="6"/>
      <c r="BU32" s="2" t="s">
        <v>122</v>
      </c>
      <c r="BV32" s="4">
        <v>103.615765</v>
      </c>
      <c r="BW32" s="6"/>
      <c r="BX32" s="6"/>
      <c r="BY32" s="2" t="s">
        <v>122</v>
      </c>
      <c r="BZ32" s="4">
        <v>115.5315028</v>
      </c>
      <c r="CA32" s="6"/>
      <c r="CB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5"/>
      <c r="N33" s="5"/>
      <c r="O33" s="6"/>
      <c r="P33" s="6"/>
      <c r="Q33" s="6"/>
      <c r="R33" s="6"/>
      <c r="S33" s="6"/>
      <c r="T33" s="6"/>
      <c r="U33" s="2" t="s">
        <v>121</v>
      </c>
      <c r="V33" s="4">
        <v>110.9890294</v>
      </c>
      <c r="W33" s="6"/>
      <c r="X33" s="6"/>
      <c r="Y33" s="2" t="s">
        <v>121</v>
      </c>
      <c r="Z33" s="4">
        <v>110.861692</v>
      </c>
      <c r="AA33" s="6"/>
      <c r="AB33" s="6"/>
      <c r="AC33" s="2" t="s">
        <v>121</v>
      </c>
      <c r="AD33" s="4">
        <v>109.855792</v>
      </c>
      <c r="AE33" s="6"/>
      <c r="AF33" s="6"/>
      <c r="AG33" s="2" t="s">
        <v>121</v>
      </c>
      <c r="AH33" s="4">
        <v>109.3244276</v>
      </c>
      <c r="AI33" s="6"/>
      <c r="AJ33" s="6"/>
      <c r="AK33" s="2" t="s">
        <v>120</v>
      </c>
      <c r="AL33" s="4">
        <v>108.6738227</v>
      </c>
      <c r="AM33" s="6"/>
      <c r="AN33" s="6"/>
      <c r="AO33" s="2" t="s">
        <v>121</v>
      </c>
      <c r="AP33" s="4">
        <v>119.9959809</v>
      </c>
      <c r="AQ33" s="6"/>
      <c r="AR33" s="6"/>
      <c r="AS33" s="2" t="s">
        <v>131</v>
      </c>
      <c r="AT33" s="4">
        <v>109.520579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2" t="s">
        <v>136</v>
      </c>
      <c r="BJ33" s="4">
        <v>121.3832812</v>
      </c>
      <c r="BK33" s="6"/>
      <c r="BL33" s="6"/>
      <c r="BM33" s="2" t="s">
        <v>121</v>
      </c>
      <c r="BN33" s="4">
        <v>109.8394761</v>
      </c>
      <c r="BO33" s="6"/>
      <c r="BP33" s="6"/>
      <c r="BQ33" s="2" t="s">
        <v>122</v>
      </c>
      <c r="BR33" s="4">
        <v>113.8083091</v>
      </c>
      <c r="BS33" s="6"/>
      <c r="BT33" s="6"/>
      <c r="BU33" s="2" t="s">
        <v>122</v>
      </c>
      <c r="BV33" s="4">
        <v>113.7145083</v>
      </c>
      <c r="BW33" s="6"/>
      <c r="BX33" s="6"/>
      <c r="BY33" s="2" t="s">
        <v>122</v>
      </c>
      <c r="BZ33" s="4">
        <v>111.8870365</v>
      </c>
      <c r="CA33" s="6"/>
      <c r="CB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5"/>
      <c r="N34" s="5"/>
      <c r="O34" s="6"/>
      <c r="P34" s="6"/>
      <c r="Q34" s="6"/>
      <c r="R34" s="6"/>
      <c r="S34" s="6"/>
      <c r="T34" s="6"/>
      <c r="U34" s="2" t="s">
        <v>121</v>
      </c>
      <c r="V34" s="4">
        <v>110.2642526</v>
      </c>
      <c r="W34" s="6"/>
      <c r="X34" s="6"/>
      <c r="Y34" s="2" t="s">
        <v>121</v>
      </c>
      <c r="Z34" s="4">
        <v>110.876865</v>
      </c>
      <c r="AA34" s="6"/>
      <c r="AB34" s="6"/>
      <c r="AC34" s="2" t="s">
        <v>121</v>
      </c>
      <c r="AD34" s="4">
        <v>109.8585218</v>
      </c>
      <c r="AE34" s="6"/>
      <c r="AF34" s="6"/>
      <c r="AG34" s="2" t="s">
        <v>121</v>
      </c>
      <c r="AH34" s="4">
        <v>109.3055454</v>
      </c>
      <c r="AI34" s="6"/>
      <c r="AJ34" s="6"/>
      <c r="AK34" s="6"/>
      <c r="AL34" s="6"/>
      <c r="AM34" s="6"/>
      <c r="AN34" s="6"/>
      <c r="AO34" s="2" t="s">
        <v>122</v>
      </c>
      <c r="AP34" s="4">
        <v>120.0028415</v>
      </c>
      <c r="AQ34" s="6"/>
      <c r="AR34" s="6"/>
      <c r="AS34" s="2" t="s">
        <v>131</v>
      </c>
      <c r="AT34" s="4">
        <v>108.4675437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2" t="s">
        <v>136</v>
      </c>
      <c r="BJ34" s="4">
        <v>118.2925163</v>
      </c>
      <c r="BK34" s="6"/>
      <c r="BL34" s="6"/>
      <c r="BM34" s="2" t="s">
        <v>121</v>
      </c>
      <c r="BN34" s="4">
        <v>112.6928373</v>
      </c>
      <c r="BO34" s="6"/>
      <c r="BP34" s="6"/>
      <c r="BQ34" s="2" t="s">
        <v>122</v>
      </c>
      <c r="BR34" s="4">
        <v>113.5217308</v>
      </c>
      <c r="BS34" s="6"/>
      <c r="BT34" s="6"/>
      <c r="BU34" s="2" t="s">
        <v>122</v>
      </c>
      <c r="BV34" s="4">
        <v>112.8243072</v>
      </c>
      <c r="BW34" s="6"/>
      <c r="BX34" s="6"/>
      <c r="BY34" s="2" t="s">
        <v>122</v>
      </c>
      <c r="BZ34" s="4">
        <v>104.4815586</v>
      </c>
      <c r="CA34" s="6"/>
      <c r="CB34" s="6"/>
    </row>
    <row r="35">
      <c r="A35" s="6"/>
      <c r="B35" s="6"/>
      <c r="C35" s="6"/>
      <c r="D35" s="6"/>
      <c r="E35" s="6"/>
      <c r="F35" s="6"/>
      <c r="G35" s="6"/>
      <c r="H35" s="5"/>
      <c r="I35" s="5"/>
      <c r="J35" s="5"/>
      <c r="K35" s="5"/>
      <c r="L35" s="5"/>
      <c r="M35" s="5"/>
      <c r="N35" s="5"/>
      <c r="O35" s="6"/>
      <c r="P35" s="6"/>
      <c r="Q35" s="6"/>
      <c r="R35" s="6"/>
      <c r="S35" s="6"/>
      <c r="T35" s="6"/>
      <c r="U35" s="2" t="s">
        <v>120</v>
      </c>
      <c r="V35" s="4">
        <v>108.3075884</v>
      </c>
      <c r="W35" s="6"/>
      <c r="X35" s="6"/>
      <c r="Y35" s="2" t="s">
        <v>120</v>
      </c>
      <c r="Z35" s="4">
        <v>108.1779677</v>
      </c>
      <c r="AA35" s="6"/>
      <c r="AB35" s="6"/>
      <c r="AC35" s="2" t="s">
        <v>121</v>
      </c>
      <c r="AD35" s="4">
        <v>109.0848131</v>
      </c>
      <c r="AE35" s="6"/>
      <c r="AF35" s="6"/>
      <c r="AG35" s="2" t="s">
        <v>121</v>
      </c>
      <c r="AH35" s="4">
        <v>108.7422186</v>
      </c>
      <c r="AI35" s="6"/>
      <c r="AJ35" s="6"/>
      <c r="AK35" s="6"/>
      <c r="AL35" s="6"/>
      <c r="AM35" s="6"/>
      <c r="AN35" s="6"/>
      <c r="AO35" s="2" t="s">
        <v>121</v>
      </c>
      <c r="AP35" s="4">
        <v>119.9976576</v>
      </c>
      <c r="AQ35" s="6"/>
      <c r="AR35" s="6"/>
      <c r="AS35" s="2" t="s">
        <v>131</v>
      </c>
      <c r="AT35" s="4">
        <v>108.4643003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2" t="s">
        <v>122</v>
      </c>
      <c r="BJ35" s="4">
        <v>120.3242009</v>
      </c>
      <c r="BK35" s="6"/>
      <c r="BL35" s="6"/>
      <c r="BM35" s="2" t="s">
        <v>121</v>
      </c>
      <c r="BN35" s="4">
        <v>111.2496071</v>
      </c>
      <c r="BO35" s="6"/>
      <c r="BP35" s="6"/>
      <c r="BQ35" s="2" t="s">
        <v>122</v>
      </c>
      <c r="BR35" s="4">
        <v>113.1038151</v>
      </c>
      <c r="BS35" s="6"/>
      <c r="BT35" s="6"/>
      <c r="BU35" s="2" t="s">
        <v>122</v>
      </c>
      <c r="BV35" s="4">
        <v>104.6014863</v>
      </c>
      <c r="BW35" s="6"/>
      <c r="BX35" s="6"/>
      <c r="BY35" s="2" t="s">
        <v>121</v>
      </c>
      <c r="BZ35" s="4">
        <v>111.8943834</v>
      </c>
      <c r="CA35" s="6"/>
      <c r="CB35" s="6"/>
    </row>
    <row r="36">
      <c r="A36" s="6"/>
      <c r="B36" s="6"/>
      <c r="C36" s="6"/>
      <c r="D36" s="6"/>
      <c r="E36" s="6"/>
      <c r="F36" s="6"/>
      <c r="G36" s="6"/>
      <c r="H36" s="5"/>
      <c r="I36" s="5"/>
      <c r="J36" s="5"/>
      <c r="K36" s="5"/>
      <c r="L36" s="5"/>
      <c r="M36" s="5"/>
      <c r="N36" s="5"/>
      <c r="O36" s="6"/>
      <c r="P36" s="6"/>
      <c r="Q36" s="6"/>
      <c r="R36" s="6"/>
      <c r="S36" s="6"/>
      <c r="T36" s="6"/>
      <c r="U36" s="2" t="s">
        <v>120</v>
      </c>
      <c r="V36" s="4">
        <v>108.0807755</v>
      </c>
      <c r="W36" s="6"/>
      <c r="X36" s="6"/>
      <c r="Y36" s="2" t="s">
        <v>120</v>
      </c>
      <c r="Z36" s="4">
        <v>108.1800625</v>
      </c>
      <c r="AA36" s="6"/>
      <c r="AB36" s="6"/>
      <c r="AC36" s="2" t="s">
        <v>121</v>
      </c>
      <c r="AD36" s="4">
        <v>109.2211921</v>
      </c>
      <c r="AE36" s="6"/>
      <c r="AF36" s="6"/>
      <c r="AG36" s="2" t="s">
        <v>121</v>
      </c>
      <c r="AH36" s="4">
        <v>108.8776209</v>
      </c>
      <c r="AI36" s="6"/>
      <c r="AJ36" s="6"/>
      <c r="AK36" s="6"/>
      <c r="AL36" s="6"/>
      <c r="AM36" s="6"/>
      <c r="AN36" s="6"/>
      <c r="AO36" s="2" t="s">
        <v>121</v>
      </c>
      <c r="AP36" s="4">
        <v>119.9995001</v>
      </c>
      <c r="AQ36" s="6"/>
      <c r="AR36" s="6"/>
      <c r="AS36" s="2" t="s">
        <v>120</v>
      </c>
      <c r="AT36" s="4">
        <v>109.7491856</v>
      </c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2" t="s">
        <v>136</v>
      </c>
      <c r="BJ36" s="4">
        <v>121.3792135</v>
      </c>
      <c r="BK36" s="6"/>
      <c r="BL36" s="6"/>
      <c r="BM36" s="2" t="s">
        <v>120</v>
      </c>
      <c r="BN36" s="4">
        <v>106.8228104</v>
      </c>
      <c r="BO36" s="6"/>
      <c r="BP36" s="6"/>
      <c r="BQ36" s="2" t="s">
        <v>121</v>
      </c>
      <c r="BR36" s="4">
        <v>109.9985669</v>
      </c>
      <c r="BS36" s="6"/>
      <c r="BT36" s="6"/>
      <c r="BU36" s="2" t="s">
        <v>121</v>
      </c>
      <c r="BV36" s="4">
        <v>110.9107245</v>
      </c>
      <c r="BW36" s="6"/>
      <c r="BX36" s="6"/>
      <c r="BY36" s="2" t="s">
        <v>121</v>
      </c>
      <c r="BZ36" s="4">
        <v>111.4114927</v>
      </c>
      <c r="CA36" s="6"/>
      <c r="CB36" s="6"/>
    </row>
    <row r="37">
      <c r="A37" s="6"/>
      <c r="B37" s="6"/>
      <c r="C37" s="6"/>
      <c r="D37" s="6"/>
      <c r="E37" s="6"/>
      <c r="F37" s="6"/>
      <c r="G37" s="6"/>
      <c r="H37" s="5"/>
      <c r="I37" s="5"/>
      <c r="J37" s="5"/>
      <c r="K37" s="5"/>
      <c r="L37" s="5"/>
      <c r="M37" s="5"/>
      <c r="N37" s="5"/>
      <c r="O37" s="6"/>
      <c r="P37" s="6"/>
      <c r="Q37" s="6"/>
      <c r="R37" s="6"/>
      <c r="S37" s="6"/>
      <c r="T37" s="6"/>
      <c r="U37" s="2" t="s">
        <v>120</v>
      </c>
      <c r="V37" s="4">
        <v>108.0834273</v>
      </c>
      <c r="W37" s="6"/>
      <c r="X37" s="6"/>
      <c r="Y37" s="2" t="s">
        <v>120</v>
      </c>
      <c r="Z37" s="4">
        <v>108.2945213</v>
      </c>
      <c r="AA37" s="6"/>
      <c r="AB37" s="6"/>
      <c r="AC37" s="2" t="s">
        <v>120</v>
      </c>
      <c r="AD37" s="4">
        <v>107.2253848</v>
      </c>
      <c r="AE37" s="6"/>
      <c r="AF37" s="6"/>
      <c r="AG37" s="2" t="s">
        <v>120</v>
      </c>
      <c r="AH37" s="4">
        <v>106.8267846</v>
      </c>
      <c r="AI37" s="6"/>
      <c r="AJ37" s="6"/>
      <c r="AK37" s="6"/>
      <c r="AL37" s="6"/>
      <c r="AM37" s="6"/>
      <c r="AN37" s="6"/>
      <c r="AO37" s="2" t="s">
        <v>122</v>
      </c>
      <c r="AP37" s="4">
        <v>120.0073184</v>
      </c>
      <c r="AQ37" s="6"/>
      <c r="AR37" s="6"/>
      <c r="AS37" s="2" t="s">
        <v>120</v>
      </c>
      <c r="AT37" s="4">
        <v>109.748618</v>
      </c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2" t="s">
        <v>136</v>
      </c>
      <c r="BJ37" s="4">
        <v>118.2960572</v>
      </c>
      <c r="BK37" s="6"/>
      <c r="BL37" s="6"/>
      <c r="BM37" s="2" t="s">
        <v>120</v>
      </c>
      <c r="BN37" s="4">
        <v>107.2779963</v>
      </c>
      <c r="BO37" s="6"/>
      <c r="BP37" s="6"/>
      <c r="BQ37" s="2" t="s">
        <v>121</v>
      </c>
      <c r="BR37" s="4">
        <v>109.8578572</v>
      </c>
      <c r="BS37" s="6"/>
      <c r="BT37" s="6"/>
      <c r="BU37" s="2" t="s">
        <v>121</v>
      </c>
      <c r="BV37" s="4">
        <v>111.4428215</v>
      </c>
      <c r="BW37" s="6"/>
      <c r="BX37" s="6"/>
      <c r="BY37" s="2" t="s">
        <v>121</v>
      </c>
      <c r="BZ37" s="4">
        <v>111.1452237</v>
      </c>
      <c r="CA37" s="6"/>
      <c r="CB37" s="6"/>
    </row>
    <row r="38">
      <c r="A38" s="6"/>
      <c r="B38" s="6"/>
      <c r="C38" s="6"/>
      <c r="D38" s="6"/>
      <c r="E38" s="6"/>
      <c r="F38" s="6"/>
      <c r="G38" s="6"/>
      <c r="H38" s="5"/>
      <c r="I38" s="5"/>
      <c r="J38" s="5"/>
      <c r="K38" s="5"/>
      <c r="L38" s="5"/>
      <c r="M38" s="5"/>
      <c r="N38" s="5"/>
      <c r="O38" s="6"/>
      <c r="P38" s="6"/>
      <c r="Q38" s="6"/>
      <c r="R38" s="6"/>
      <c r="S38" s="6"/>
      <c r="T38" s="6"/>
      <c r="U38" s="6"/>
      <c r="V38" s="6"/>
      <c r="W38" s="6"/>
      <c r="X38" s="6"/>
      <c r="Y38" s="2" t="s">
        <v>121</v>
      </c>
      <c r="Z38" s="4">
        <v>111.0091596</v>
      </c>
      <c r="AA38" s="6"/>
      <c r="AB38" s="6"/>
      <c r="AC38" s="2" t="s">
        <v>121</v>
      </c>
      <c r="AD38" s="4">
        <v>111.0104701</v>
      </c>
      <c r="AE38" s="6"/>
      <c r="AF38" s="6"/>
      <c r="AG38" s="2" t="s">
        <v>122</v>
      </c>
      <c r="AH38" s="4">
        <v>111.5138689</v>
      </c>
      <c r="AI38" s="6"/>
      <c r="AJ38" s="6"/>
      <c r="AK38" s="6"/>
      <c r="AL38" s="6"/>
      <c r="AM38" s="6"/>
      <c r="AN38" s="6"/>
      <c r="AO38" s="2" t="s">
        <v>121</v>
      </c>
      <c r="AP38" s="4">
        <v>119.9954171</v>
      </c>
      <c r="AQ38" s="6"/>
      <c r="AR38" s="6"/>
      <c r="AS38" s="2" t="s">
        <v>120</v>
      </c>
      <c r="AT38" s="4">
        <v>110.8579117</v>
      </c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2" t="s">
        <v>122</v>
      </c>
      <c r="BJ38" s="4">
        <v>120.3247292</v>
      </c>
      <c r="BK38" s="6"/>
      <c r="BL38" s="6"/>
      <c r="BM38" s="2" t="s">
        <v>120</v>
      </c>
      <c r="BN38" s="4">
        <v>108.7207444</v>
      </c>
      <c r="BO38" s="6"/>
      <c r="BP38" s="6"/>
      <c r="BQ38" s="2" t="s">
        <v>121</v>
      </c>
      <c r="BR38" s="4">
        <v>107.3652597</v>
      </c>
      <c r="BS38" s="6"/>
      <c r="BT38" s="6"/>
      <c r="BU38" s="2" t="s">
        <v>121</v>
      </c>
      <c r="BV38" s="4">
        <v>110.0656687</v>
      </c>
      <c r="BW38" s="6"/>
      <c r="BX38" s="6"/>
      <c r="BY38" s="2" t="s">
        <v>121</v>
      </c>
      <c r="BZ38" s="4">
        <v>110.417803</v>
      </c>
      <c r="CA38" s="6"/>
      <c r="CB38" s="6"/>
    </row>
    <row r="39">
      <c r="A39" s="6"/>
      <c r="B39" s="6"/>
      <c r="C39" s="6"/>
      <c r="D39" s="6"/>
      <c r="E39" s="6"/>
      <c r="F39" s="6"/>
      <c r="G39" s="6"/>
      <c r="H39" s="5"/>
      <c r="I39" s="5"/>
      <c r="J39" s="5"/>
      <c r="K39" s="5"/>
      <c r="L39" s="5"/>
      <c r="M39" s="5"/>
      <c r="N39" s="5"/>
      <c r="O39" s="6"/>
      <c r="P39" s="6"/>
      <c r="Q39" s="6"/>
      <c r="R39" s="6"/>
      <c r="S39" s="6"/>
      <c r="T39" s="6"/>
      <c r="U39" s="6"/>
      <c r="V39" s="6"/>
      <c r="W39" s="6"/>
      <c r="X39" s="6"/>
      <c r="Y39" s="2" t="s">
        <v>121</v>
      </c>
      <c r="Z39" s="4">
        <v>110.9928066</v>
      </c>
      <c r="AA39" s="6"/>
      <c r="AB39" s="6"/>
      <c r="AC39" s="2" t="s">
        <v>121</v>
      </c>
      <c r="AD39" s="4">
        <v>111.005267</v>
      </c>
      <c r="AE39" s="6"/>
      <c r="AF39" s="6"/>
      <c r="AG39" s="2" t="s">
        <v>121</v>
      </c>
      <c r="AH39" s="4">
        <v>109.8430421</v>
      </c>
      <c r="AI39" s="6"/>
      <c r="AJ39" s="6"/>
      <c r="AK39" s="6"/>
      <c r="AL39" s="6"/>
      <c r="AM39" s="6"/>
      <c r="AN39" s="6"/>
      <c r="AO39" s="2" t="s">
        <v>121</v>
      </c>
      <c r="AP39" s="4">
        <v>119.9972642</v>
      </c>
      <c r="AQ39" s="6"/>
      <c r="AR39" s="6"/>
      <c r="AS39" s="2" t="s">
        <v>131</v>
      </c>
      <c r="AT39" s="4">
        <v>112.8732375</v>
      </c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2" t="s">
        <v>134</v>
      </c>
      <c r="BJ39" s="4">
        <v>122.9746388</v>
      </c>
      <c r="BK39" s="6"/>
      <c r="BL39" s="6"/>
      <c r="BM39" s="2" t="s">
        <v>122</v>
      </c>
      <c r="BN39" s="4">
        <v>119.3518896</v>
      </c>
      <c r="BO39" s="6"/>
      <c r="BP39" s="6"/>
      <c r="BQ39" s="2" t="s">
        <v>121</v>
      </c>
      <c r="BR39" s="4">
        <v>109.64525</v>
      </c>
      <c r="BS39" s="6"/>
      <c r="BT39" s="6"/>
      <c r="BU39" s="2" t="s">
        <v>121</v>
      </c>
      <c r="BV39" s="4">
        <v>112.5129906</v>
      </c>
      <c r="BW39" s="6"/>
      <c r="BX39" s="6"/>
      <c r="BY39" s="2" t="s">
        <v>120</v>
      </c>
      <c r="BZ39" s="4">
        <v>107.5316631</v>
      </c>
      <c r="CA39" s="6"/>
      <c r="CB39" s="6"/>
    </row>
    <row r="40">
      <c r="A40" s="6"/>
      <c r="B40" s="6"/>
      <c r="C40" s="6"/>
      <c r="D40" s="6"/>
      <c r="E40" s="6"/>
      <c r="F40" s="6"/>
      <c r="G40" s="6"/>
      <c r="H40" s="5"/>
      <c r="I40" s="5"/>
      <c r="J40" s="5"/>
      <c r="K40" s="5"/>
      <c r="L40" s="5"/>
      <c r="M40" s="5"/>
      <c r="N40" s="5"/>
      <c r="O40" s="6"/>
      <c r="P40" s="6"/>
      <c r="Q40" s="6"/>
      <c r="R40" s="6"/>
      <c r="S40" s="6"/>
      <c r="T40" s="6"/>
      <c r="U40" s="6"/>
      <c r="V40" s="6"/>
      <c r="W40" s="6"/>
      <c r="X40" s="6"/>
      <c r="Y40" s="2" t="s">
        <v>121</v>
      </c>
      <c r="Z40" s="4">
        <v>110.2574583</v>
      </c>
      <c r="AA40" s="6"/>
      <c r="AB40" s="6"/>
      <c r="AC40" s="2" t="s">
        <v>121</v>
      </c>
      <c r="AD40" s="4">
        <v>110.2355295</v>
      </c>
      <c r="AE40" s="6"/>
      <c r="AF40" s="6"/>
      <c r="AG40" s="2" t="s">
        <v>121</v>
      </c>
      <c r="AH40" s="4">
        <v>109.8788478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2" t="s">
        <v>131</v>
      </c>
      <c r="AT40" s="4">
        <v>108.5827458</v>
      </c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2" t="s">
        <v>127</v>
      </c>
      <c r="BJ40" s="4">
        <v>111.781761</v>
      </c>
      <c r="BK40" s="6"/>
      <c r="BL40" s="6"/>
      <c r="BM40" s="2" t="s">
        <v>121</v>
      </c>
      <c r="BN40" s="4">
        <v>121.3529971</v>
      </c>
      <c r="BO40" s="6"/>
      <c r="BP40" s="6"/>
      <c r="BQ40" s="2" t="s">
        <v>120</v>
      </c>
      <c r="BR40" s="4">
        <v>106.6411961</v>
      </c>
      <c r="BS40" s="6"/>
      <c r="BT40" s="6"/>
      <c r="BU40" s="2" t="s">
        <v>120</v>
      </c>
      <c r="BV40" s="4">
        <v>107.3527529</v>
      </c>
      <c r="BW40" s="6"/>
      <c r="BX40" s="6"/>
      <c r="BY40" s="2" t="s">
        <v>122</v>
      </c>
      <c r="BZ40" s="4">
        <v>109.3805491</v>
      </c>
      <c r="CA40" s="6"/>
      <c r="CB40" s="6"/>
    </row>
    <row r="41">
      <c r="A41" s="6"/>
      <c r="B41" s="6"/>
      <c r="C41" s="6"/>
      <c r="D41" s="6"/>
      <c r="E41" s="6"/>
      <c r="F41" s="6"/>
      <c r="G41" s="6"/>
      <c r="H41" s="5"/>
      <c r="I41" s="5"/>
      <c r="J41" s="5"/>
      <c r="K41" s="5"/>
      <c r="L41" s="5"/>
      <c r="M41" s="5"/>
      <c r="N41" s="5"/>
      <c r="O41" s="6"/>
      <c r="P41" s="6"/>
      <c r="Q41" s="6"/>
      <c r="R41" s="6"/>
      <c r="S41" s="6"/>
      <c r="T41" s="6"/>
      <c r="U41" s="6"/>
      <c r="V41" s="6"/>
      <c r="W41" s="6"/>
      <c r="X41" s="6"/>
      <c r="Y41" s="2" t="s">
        <v>120</v>
      </c>
      <c r="Z41" s="4">
        <v>108.3143988</v>
      </c>
      <c r="AA41" s="6"/>
      <c r="AB41" s="6"/>
      <c r="AC41" s="2" t="s">
        <v>120</v>
      </c>
      <c r="AD41" s="4">
        <v>108.3239879</v>
      </c>
      <c r="AE41" s="6"/>
      <c r="AF41" s="6"/>
      <c r="AG41" s="2" t="s">
        <v>121</v>
      </c>
      <c r="AH41" s="4">
        <v>109.2251529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2" t="s">
        <v>131</v>
      </c>
      <c r="AT41" s="4">
        <v>108.5903792</v>
      </c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2" t="s">
        <v>127</v>
      </c>
      <c r="BJ41" s="4">
        <v>125.2435721</v>
      </c>
      <c r="BK41" s="6"/>
      <c r="BL41" s="6"/>
      <c r="BM41" s="2" t="s">
        <v>121</v>
      </c>
      <c r="BN41" s="4">
        <v>119.293463</v>
      </c>
      <c r="BO41" s="6"/>
      <c r="BP41" s="6"/>
      <c r="BQ41" s="2" t="s">
        <v>122</v>
      </c>
      <c r="BR41" s="4">
        <v>109.1666442</v>
      </c>
      <c r="BS41" s="6"/>
      <c r="BT41" s="6"/>
      <c r="BU41" s="2" t="s">
        <v>122</v>
      </c>
      <c r="BV41" s="4">
        <v>113.2695443</v>
      </c>
      <c r="BW41" s="6"/>
      <c r="BX41" s="6"/>
      <c r="BY41" s="2" t="s">
        <v>121</v>
      </c>
      <c r="BZ41" s="4">
        <v>112.6531317</v>
      </c>
      <c r="CA41" s="6"/>
      <c r="CB41" s="6"/>
    </row>
    <row r="42">
      <c r="A42" s="6"/>
      <c r="B42" s="6"/>
      <c r="C42" s="6"/>
      <c r="D42" s="6"/>
      <c r="E42" s="6"/>
      <c r="F42" s="6"/>
      <c r="G42" s="6"/>
      <c r="H42" s="5"/>
      <c r="I42" s="5"/>
      <c r="J42" s="5"/>
      <c r="K42" s="5"/>
      <c r="L42" s="5"/>
      <c r="M42" s="5"/>
      <c r="N42" s="5"/>
      <c r="O42" s="6"/>
      <c r="P42" s="6"/>
      <c r="Q42" s="6"/>
      <c r="R42" s="6"/>
      <c r="S42" s="6"/>
      <c r="T42" s="6"/>
      <c r="U42" s="6"/>
      <c r="V42" s="6"/>
      <c r="W42" s="6"/>
      <c r="X42" s="6"/>
      <c r="Y42" s="2" t="s">
        <v>120</v>
      </c>
      <c r="Z42" s="4">
        <v>108.0726972</v>
      </c>
      <c r="AA42" s="6"/>
      <c r="AB42" s="6"/>
      <c r="AC42" s="2" t="s">
        <v>120</v>
      </c>
      <c r="AD42" s="4">
        <v>108.0722075</v>
      </c>
      <c r="AE42" s="6"/>
      <c r="AF42" s="6"/>
      <c r="AG42" s="2" t="s">
        <v>121</v>
      </c>
      <c r="AH42" s="4">
        <v>109.0566925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2" t="s">
        <v>120</v>
      </c>
      <c r="AT42" s="4">
        <v>109.2648113</v>
      </c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2" t="s">
        <v>122</v>
      </c>
      <c r="BJ42" s="4">
        <v>119.9974476</v>
      </c>
      <c r="BK42" s="6"/>
      <c r="BL42" s="6"/>
      <c r="BM42" s="2" t="s">
        <v>122</v>
      </c>
      <c r="BN42" s="4">
        <v>119.3555692</v>
      </c>
      <c r="BO42" s="6"/>
      <c r="BP42" s="6"/>
      <c r="BQ42" s="2" t="s">
        <v>122</v>
      </c>
      <c r="BR42" s="4">
        <v>108.0322687</v>
      </c>
      <c r="BS42" s="6"/>
      <c r="BT42" s="6"/>
      <c r="BU42" s="2" t="s">
        <v>121</v>
      </c>
      <c r="BV42" s="4">
        <v>111.0978606</v>
      </c>
      <c r="BW42" s="6"/>
      <c r="BX42" s="6"/>
      <c r="BY42" s="2" t="s">
        <v>121</v>
      </c>
      <c r="BZ42" s="4">
        <v>111.3194583</v>
      </c>
      <c r="CA42" s="6"/>
      <c r="CB42" s="6"/>
    </row>
    <row r="43">
      <c r="A43" s="6"/>
      <c r="B43" s="6"/>
      <c r="C43" s="6"/>
      <c r="D43" s="6"/>
      <c r="E43" s="6"/>
      <c r="F43" s="6"/>
      <c r="G43" s="6"/>
      <c r="H43" s="5"/>
      <c r="I43" s="5"/>
      <c r="J43" s="5"/>
      <c r="K43" s="5"/>
      <c r="L43" s="5"/>
      <c r="M43" s="5"/>
      <c r="N43" s="5"/>
      <c r="O43" s="6"/>
      <c r="P43" s="6"/>
      <c r="Q43" s="6"/>
      <c r="R43" s="6"/>
      <c r="S43" s="6"/>
      <c r="T43" s="6"/>
      <c r="U43" s="6"/>
      <c r="V43" s="6"/>
      <c r="W43" s="6"/>
      <c r="X43" s="6"/>
      <c r="Y43" s="2" t="s">
        <v>120</v>
      </c>
      <c r="Z43" s="4">
        <v>108.0882607</v>
      </c>
      <c r="AA43" s="6"/>
      <c r="AB43" s="6"/>
      <c r="AC43" s="2" t="s">
        <v>120</v>
      </c>
      <c r="AD43" s="4">
        <v>108.0874517</v>
      </c>
      <c r="AE43" s="6"/>
      <c r="AF43" s="6"/>
      <c r="AG43" s="2" t="s">
        <v>120</v>
      </c>
      <c r="AH43" s="4">
        <v>107.2201563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2" t="s">
        <v>120</v>
      </c>
      <c r="AT43" s="4">
        <v>109.2643225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2" t="s">
        <v>121</v>
      </c>
      <c r="BJ43" s="4">
        <v>120.9473784</v>
      </c>
      <c r="BK43" s="6"/>
      <c r="BL43" s="6"/>
      <c r="BM43" s="2" t="s">
        <v>121</v>
      </c>
      <c r="BN43" s="4">
        <v>121.3458803</v>
      </c>
      <c r="BO43" s="6"/>
      <c r="BP43" s="6"/>
      <c r="BQ43" s="2" t="s">
        <v>122</v>
      </c>
      <c r="BR43" s="4">
        <v>113.5910854</v>
      </c>
      <c r="BS43" s="6"/>
      <c r="BT43" s="6"/>
      <c r="BU43" s="2" t="s">
        <v>121</v>
      </c>
      <c r="BV43" s="4">
        <v>110.6309055</v>
      </c>
      <c r="BW43" s="6"/>
      <c r="BX43" s="6"/>
      <c r="BY43" s="2" t="s">
        <v>121</v>
      </c>
      <c r="BZ43" s="4">
        <v>106.7479279</v>
      </c>
      <c r="CA43" s="6"/>
      <c r="CB43" s="6"/>
    </row>
    <row r="44">
      <c r="A44" s="6"/>
      <c r="B44" s="6"/>
      <c r="C44" s="6"/>
      <c r="D44" s="6"/>
      <c r="E44" s="6"/>
      <c r="F44" s="6"/>
      <c r="G44" s="6"/>
      <c r="H44" s="5"/>
      <c r="I44" s="5"/>
      <c r="J44" s="5"/>
      <c r="K44" s="5"/>
      <c r="L44" s="5"/>
      <c r="M44" s="5"/>
      <c r="N44" s="5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2" t="s">
        <v>121</v>
      </c>
      <c r="AD44" s="4">
        <v>110.2611378</v>
      </c>
      <c r="AE44" s="6"/>
      <c r="AF44" s="6"/>
      <c r="AG44" s="2" t="s">
        <v>121</v>
      </c>
      <c r="AH44" s="4">
        <v>110.8636865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2" t="s">
        <v>120</v>
      </c>
      <c r="AT44" s="4">
        <v>108.1555214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2" t="s">
        <v>121</v>
      </c>
      <c r="BJ44" s="4">
        <v>119.0551741</v>
      </c>
      <c r="BK44" s="6"/>
      <c r="BL44" s="6"/>
      <c r="BM44" s="2" t="s">
        <v>121</v>
      </c>
      <c r="BN44" s="4">
        <v>119.2974857</v>
      </c>
      <c r="BO44" s="6"/>
      <c r="BP44" s="6"/>
      <c r="BQ44" s="2" t="s">
        <v>122</v>
      </c>
      <c r="BR44" s="4">
        <v>109.9776294</v>
      </c>
      <c r="BS44" s="6"/>
      <c r="BT44" s="6"/>
      <c r="BU44" s="2" t="s">
        <v>121</v>
      </c>
      <c r="BV44" s="4">
        <v>105.8944384</v>
      </c>
      <c r="BW44" s="6"/>
      <c r="BX44" s="6"/>
      <c r="BY44" s="2" t="s">
        <v>121</v>
      </c>
      <c r="BZ44" s="4">
        <v>109.1108051</v>
      </c>
      <c r="CA44" s="6"/>
      <c r="CB44" s="6"/>
    </row>
    <row r="45">
      <c r="A45" s="6"/>
      <c r="B45" s="6"/>
      <c r="C45" s="6"/>
      <c r="D45" s="6"/>
      <c r="E45" s="6"/>
      <c r="F45" s="6"/>
      <c r="G45" s="6"/>
      <c r="H45" s="5"/>
      <c r="I45" s="5"/>
      <c r="J45" s="5"/>
      <c r="K45" s="5"/>
      <c r="L45" s="5"/>
      <c r="M45" s="5"/>
      <c r="N45" s="5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2" t="s">
        <v>121</v>
      </c>
      <c r="AD45" s="4">
        <v>110.9880047</v>
      </c>
      <c r="AE45" s="6"/>
      <c r="AF45" s="6"/>
      <c r="AG45" s="2" t="s">
        <v>121</v>
      </c>
      <c r="AH45" s="4">
        <v>110.3491625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2" t="s">
        <v>122</v>
      </c>
      <c r="BJ45" s="4">
        <v>120.0002992</v>
      </c>
      <c r="BK45" s="6"/>
      <c r="BL45" s="6"/>
      <c r="BM45" s="2" t="s">
        <v>122</v>
      </c>
      <c r="BN45" s="4">
        <v>120.0118449</v>
      </c>
      <c r="BO45" s="6"/>
      <c r="BP45" s="6"/>
      <c r="BQ45" s="2" t="s">
        <v>122</v>
      </c>
      <c r="BR45" s="4">
        <v>107.1190723</v>
      </c>
      <c r="BS45" s="6"/>
      <c r="BT45" s="6"/>
      <c r="BU45" s="2" t="s">
        <v>121</v>
      </c>
      <c r="BV45" s="4">
        <v>108.1246782</v>
      </c>
      <c r="BW45" s="6"/>
      <c r="BX45" s="6"/>
      <c r="BY45" s="2" t="s">
        <v>120</v>
      </c>
      <c r="BZ45" s="4">
        <v>107.4707191</v>
      </c>
      <c r="CA45" s="6"/>
      <c r="CB45" s="6"/>
    </row>
    <row r="46">
      <c r="A46" s="6"/>
      <c r="B46" s="6"/>
      <c r="C46" s="6"/>
      <c r="D46" s="6"/>
      <c r="E46" s="6"/>
      <c r="F46" s="6"/>
      <c r="G46" s="6"/>
      <c r="H46" s="5"/>
      <c r="I46" s="5"/>
      <c r="J46" s="5"/>
      <c r="K46" s="5"/>
      <c r="L46" s="5"/>
      <c r="M46" s="5"/>
      <c r="N46" s="5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2" t="s">
        <v>121</v>
      </c>
      <c r="AD46" s="4">
        <v>111.0101536</v>
      </c>
      <c r="AE46" s="6"/>
      <c r="AF46" s="6"/>
      <c r="AG46" s="2" t="s">
        <v>121</v>
      </c>
      <c r="AH46" s="4">
        <v>110.8817566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2" t="s">
        <v>121</v>
      </c>
      <c r="BJ46" s="4">
        <v>120.9424008</v>
      </c>
      <c r="BK46" s="6"/>
      <c r="BL46" s="6"/>
      <c r="BM46" s="2" t="s">
        <v>121</v>
      </c>
      <c r="BN46" s="4">
        <v>121.1212121</v>
      </c>
      <c r="BO46" s="6"/>
      <c r="BP46" s="6"/>
      <c r="BQ46" s="2" t="s">
        <v>122</v>
      </c>
      <c r="BR46" s="4">
        <v>108.9330842</v>
      </c>
      <c r="BS46" s="6"/>
      <c r="BT46" s="6"/>
      <c r="BU46" s="2" t="s">
        <v>120</v>
      </c>
      <c r="BV46" s="4">
        <v>107.5448039</v>
      </c>
      <c r="BW46" s="6"/>
      <c r="BX46" s="6"/>
      <c r="BY46" s="2" t="s">
        <v>122</v>
      </c>
      <c r="BZ46" s="4">
        <v>106.2232807</v>
      </c>
      <c r="CA46" s="6"/>
      <c r="CB46" s="6"/>
    </row>
    <row r="47">
      <c r="A47" s="6"/>
      <c r="B47" s="6"/>
      <c r="C47" s="6"/>
      <c r="D47" s="6"/>
      <c r="E47" s="6"/>
      <c r="F47" s="6"/>
      <c r="G47" s="6"/>
      <c r="H47" s="5"/>
      <c r="I47" s="5"/>
      <c r="J47" s="5"/>
      <c r="K47" s="5"/>
      <c r="L47" s="5"/>
      <c r="M47" s="5"/>
      <c r="N47" s="5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2" t="s">
        <v>120</v>
      </c>
      <c r="AD47" s="4">
        <v>108.0787827</v>
      </c>
      <c r="AE47" s="6"/>
      <c r="AF47" s="6"/>
      <c r="AG47" s="2" t="s">
        <v>120</v>
      </c>
      <c r="AH47" s="4">
        <v>108.1794023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2" t="s">
        <v>121</v>
      </c>
      <c r="BJ47" s="4">
        <v>119.0572994</v>
      </c>
      <c r="BK47" s="6"/>
      <c r="BL47" s="6"/>
      <c r="BM47" s="2" t="s">
        <v>121</v>
      </c>
      <c r="BN47" s="4">
        <v>118.8667886</v>
      </c>
      <c r="BO47" s="6"/>
      <c r="BP47" s="6"/>
      <c r="BQ47" s="2" t="s">
        <v>127</v>
      </c>
      <c r="BR47" s="4">
        <v>111.402625</v>
      </c>
      <c r="BS47" s="6"/>
      <c r="BT47" s="6"/>
      <c r="BU47" s="2" t="s">
        <v>122</v>
      </c>
      <c r="BV47" s="4">
        <v>105.6337728</v>
      </c>
      <c r="BW47" s="6"/>
      <c r="BX47" s="6"/>
      <c r="BY47" s="2" t="s">
        <v>121</v>
      </c>
      <c r="BZ47" s="4">
        <v>113.6328603</v>
      </c>
      <c r="CA47" s="6"/>
      <c r="CB47" s="6"/>
    </row>
    <row r="48">
      <c r="A48" s="6"/>
      <c r="B48" s="6"/>
      <c r="C48" s="6"/>
      <c r="D48" s="6"/>
      <c r="E48" s="6"/>
      <c r="F48" s="6"/>
      <c r="G48" s="6"/>
      <c r="H48" s="5"/>
      <c r="I48" s="5"/>
      <c r="J48" s="5"/>
      <c r="K48" s="5"/>
      <c r="L48" s="5"/>
      <c r="M48" s="5"/>
      <c r="N48" s="5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2" t="s">
        <v>120</v>
      </c>
      <c r="AD48" s="4">
        <v>108.0829718</v>
      </c>
      <c r="AE48" s="6"/>
      <c r="AF48" s="6"/>
      <c r="AG48" s="2" t="s">
        <v>120</v>
      </c>
      <c r="AH48" s="4">
        <v>108.2942423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2" t="s">
        <v>122</v>
      </c>
      <c r="BJ48" s="4">
        <v>120.0001541</v>
      </c>
      <c r="BK48" s="6"/>
      <c r="BL48" s="6"/>
      <c r="BM48" s="2" t="s">
        <v>122</v>
      </c>
      <c r="BN48" s="4">
        <v>120.0018325</v>
      </c>
      <c r="BO48" s="6"/>
      <c r="BP48" s="6"/>
      <c r="BQ48" s="2" t="s">
        <v>127</v>
      </c>
      <c r="BR48" s="4">
        <v>109.369495</v>
      </c>
      <c r="BS48" s="6"/>
      <c r="BT48" s="6"/>
      <c r="BU48" s="2" t="s">
        <v>122</v>
      </c>
      <c r="BV48" s="4">
        <v>115.228194</v>
      </c>
      <c r="BW48" s="6"/>
      <c r="BX48" s="6"/>
      <c r="BY48" s="2" t="s">
        <v>121</v>
      </c>
      <c r="BZ48" s="4">
        <v>111.8123526</v>
      </c>
      <c r="CA48" s="6"/>
      <c r="CB48" s="6"/>
    </row>
    <row r="49">
      <c r="A49" s="6"/>
      <c r="B49" s="6"/>
      <c r="C49" s="6"/>
      <c r="D49" s="6"/>
      <c r="E49" s="6"/>
      <c r="F49" s="6"/>
      <c r="G49" s="6"/>
      <c r="H49" s="5"/>
      <c r="I49" s="5"/>
      <c r="J49" s="5"/>
      <c r="K49" s="5"/>
      <c r="L49" s="5"/>
      <c r="M49" s="5"/>
      <c r="N49" s="5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2" t="s">
        <v>120</v>
      </c>
      <c r="AD49" s="4">
        <v>108.313773</v>
      </c>
      <c r="AE49" s="6"/>
      <c r="AF49" s="6"/>
      <c r="AG49" s="2" t="s">
        <v>120</v>
      </c>
      <c r="AH49" s="4">
        <v>108.1757301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2" t="s">
        <v>121</v>
      </c>
      <c r="BJ49" s="4">
        <v>120.0059822</v>
      </c>
      <c r="BK49" s="6"/>
      <c r="BL49" s="6"/>
      <c r="BM49" s="2" t="s">
        <v>121</v>
      </c>
      <c r="BN49" s="4">
        <v>120.9659689</v>
      </c>
      <c r="BO49" s="6"/>
      <c r="BP49" s="6"/>
      <c r="BQ49" s="2" t="s">
        <v>130</v>
      </c>
      <c r="BR49" s="4">
        <v>106.4201743</v>
      </c>
      <c r="BS49" s="6"/>
      <c r="BT49" s="6"/>
      <c r="BU49" s="2" t="s">
        <v>121</v>
      </c>
      <c r="BV49" s="4">
        <v>110.735786</v>
      </c>
      <c r="BW49" s="6"/>
      <c r="BX49" s="6"/>
      <c r="BY49" s="2" t="s">
        <v>121</v>
      </c>
      <c r="BZ49" s="4">
        <v>107.429531</v>
      </c>
      <c r="CA49" s="6"/>
      <c r="CB49" s="6"/>
    </row>
    <row r="50">
      <c r="A50" s="6"/>
      <c r="B50" s="6"/>
      <c r="C50" s="6"/>
      <c r="D50" s="6"/>
      <c r="E50" s="6"/>
      <c r="F50" s="6"/>
      <c r="G50" s="6"/>
      <c r="H50" s="5"/>
      <c r="I50" s="5"/>
      <c r="J50" s="5"/>
      <c r="K50" s="5"/>
      <c r="L50" s="5"/>
      <c r="M50" s="5"/>
      <c r="N50" s="5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2" t="s">
        <v>121</v>
      </c>
      <c r="AH50" s="4">
        <v>110.2585523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2" t="s">
        <v>121</v>
      </c>
      <c r="BJ50" s="4">
        <v>119.9938629</v>
      </c>
      <c r="BK50" s="6"/>
      <c r="BL50" s="6"/>
      <c r="BM50" s="2" t="s">
        <v>121</v>
      </c>
      <c r="BN50" s="4">
        <v>119.0321335</v>
      </c>
      <c r="BO50" s="6"/>
      <c r="BP50" s="6"/>
      <c r="BQ50" s="2" t="s">
        <v>122</v>
      </c>
      <c r="BR50" s="4">
        <v>113.2142507</v>
      </c>
      <c r="BS50" s="6"/>
      <c r="BT50" s="6"/>
      <c r="BU50" s="2" t="s">
        <v>122</v>
      </c>
      <c r="BV50" s="4">
        <v>111.5588781</v>
      </c>
      <c r="BW50" s="6"/>
      <c r="BX50" s="6"/>
      <c r="BY50" s="2" t="s">
        <v>121</v>
      </c>
      <c r="BZ50" s="4">
        <v>109.624857</v>
      </c>
      <c r="CA50" s="6"/>
      <c r="CB50" s="6"/>
    </row>
    <row r="51">
      <c r="A51" s="6"/>
      <c r="B51" s="6"/>
      <c r="C51" s="6"/>
      <c r="D51" s="6"/>
      <c r="E51" s="6"/>
      <c r="F51" s="6"/>
      <c r="G51" s="6"/>
      <c r="H51" s="5"/>
      <c r="I51" s="5"/>
      <c r="J51" s="5"/>
      <c r="K51" s="5"/>
      <c r="L51" s="5"/>
      <c r="M51" s="5"/>
      <c r="N51" s="5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2" t="s">
        <v>121</v>
      </c>
      <c r="AH51" s="4">
        <v>110.988053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2" t="s">
        <v>121</v>
      </c>
      <c r="BN51" s="4">
        <v>110.6900836</v>
      </c>
      <c r="BO51" s="6"/>
      <c r="BP51" s="6"/>
      <c r="BQ51" s="2" t="s">
        <v>121</v>
      </c>
      <c r="BR51" s="4">
        <v>108.826859</v>
      </c>
      <c r="BS51" s="6"/>
      <c r="BT51" s="6"/>
      <c r="BU51" s="2" t="s">
        <v>121</v>
      </c>
      <c r="BV51" s="4">
        <v>106.4538603</v>
      </c>
      <c r="BW51" s="6"/>
      <c r="BX51" s="6"/>
      <c r="BY51" s="2" t="s">
        <v>120</v>
      </c>
      <c r="BZ51" s="4">
        <v>107.9823455</v>
      </c>
      <c r="CA51" s="6"/>
      <c r="CB51" s="6"/>
    </row>
    <row r="52">
      <c r="A52" s="6"/>
      <c r="B52" s="6"/>
      <c r="C52" s="6"/>
      <c r="D52" s="6"/>
      <c r="E52" s="6"/>
      <c r="F52" s="6"/>
      <c r="G52" s="6"/>
      <c r="H52" s="5"/>
      <c r="I52" s="5"/>
      <c r="J52" s="5"/>
      <c r="K52" s="5"/>
      <c r="L52" s="5"/>
      <c r="M52" s="5"/>
      <c r="N52" s="5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2" t="s">
        <v>121</v>
      </c>
      <c r="AH52" s="4">
        <v>111.0090678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2" t="s">
        <v>121</v>
      </c>
      <c r="BN52" s="4">
        <v>111.6468298</v>
      </c>
      <c r="BO52" s="6"/>
      <c r="BP52" s="6"/>
      <c r="BQ52" s="2" t="s">
        <v>121</v>
      </c>
      <c r="BR52" s="4">
        <v>107.2981087</v>
      </c>
      <c r="BS52" s="6"/>
      <c r="BT52" s="6"/>
      <c r="BU52" s="2" t="s">
        <v>121</v>
      </c>
      <c r="BV52" s="4">
        <v>106.940499</v>
      </c>
      <c r="BW52" s="6"/>
      <c r="BX52" s="6"/>
      <c r="BY52" s="2" t="s">
        <v>122</v>
      </c>
      <c r="BZ52" s="4">
        <v>107.5719249</v>
      </c>
      <c r="CA52" s="6"/>
      <c r="CB52" s="6"/>
    </row>
    <row r="53">
      <c r="A53" s="6"/>
      <c r="B53" s="6"/>
      <c r="C53" s="6"/>
      <c r="D53" s="6"/>
      <c r="E53" s="6"/>
      <c r="F53" s="6"/>
      <c r="G53" s="6"/>
      <c r="H53" s="5"/>
      <c r="I53" s="5"/>
      <c r="J53" s="5"/>
      <c r="K53" s="5"/>
      <c r="L53" s="5"/>
      <c r="M53" s="5"/>
      <c r="N53" s="5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2" t="s">
        <v>120</v>
      </c>
      <c r="AH53" s="4">
        <v>108.0899951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2" t="s">
        <v>121</v>
      </c>
      <c r="BN53" s="4">
        <v>111.2876372</v>
      </c>
      <c r="BO53" s="6"/>
      <c r="BP53" s="6"/>
      <c r="BQ53" s="2" t="s">
        <v>122</v>
      </c>
      <c r="BR53" s="4">
        <v>104.2352833</v>
      </c>
      <c r="BS53" s="6"/>
      <c r="BT53" s="6"/>
      <c r="BU53" s="2" t="s">
        <v>127</v>
      </c>
      <c r="BV53" s="4">
        <v>111.6588472</v>
      </c>
      <c r="BW53" s="6"/>
      <c r="BX53" s="6"/>
      <c r="BY53" s="2" t="s">
        <v>122</v>
      </c>
      <c r="BZ53" s="4">
        <v>112.7170197</v>
      </c>
      <c r="CA53" s="6"/>
      <c r="CB53" s="6"/>
    </row>
    <row r="54">
      <c r="A54" s="6"/>
      <c r="B54" s="6"/>
      <c r="C54" s="6"/>
      <c r="D54" s="6"/>
      <c r="E54" s="6"/>
      <c r="F54" s="6"/>
      <c r="G54" s="6"/>
      <c r="H54" s="5"/>
      <c r="I54" s="5"/>
      <c r="J54" s="5"/>
      <c r="K54" s="5"/>
      <c r="L54" s="5"/>
      <c r="M54" s="5"/>
      <c r="N54" s="5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2" t="s">
        <v>120</v>
      </c>
      <c r="AH54" s="4">
        <v>108.0720718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2" t="s">
        <v>120</v>
      </c>
      <c r="BN54" s="4">
        <v>107.9825923</v>
      </c>
      <c r="BO54" s="6"/>
      <c r="BP54" s="6"/>
      <c r="BQ54" s="2" t="s">
        <v>121</v>
      </c>
      <c r="BR54" s="4">
        <v>112.0758641</v>
      </c>
      <c r="BS54" s="6"/>
      <c r="BT54" s="6"/>
      <c r="BU54" s="2" t="s">
        <v>127</v>
      </c>
      <c r="BV54" s="4">
        <v>109.8019318</v>
      </c>
      <c r="BW54" s="6"/>
      <c r="BX54" s="6"/>
      <c r="BY54" s="2" t="s">
        <v>122</v>
      </c>
      <c r="BZ54" s="4">
        <v>110.2711081</v>
      </c>
      <c r="CA54" s="6"/>
      <c r="CB54" s="6"/>
    </row>
    <row r="55">
      <c r="A55" s="6"/>
      <c r="B55" s="6"/>
      <c r="C55" s="6"/>
      <c r="D55" s="6"/>
      <c r="E55" s="6"/>
      <c r="F55" s="6"/>
      <c r="G55" s="6"/>
      <c r="H55" s="5"/>
      <c r="I55" s="5"/>
      <c r="J55" s="5"/>
      <c r="K55" s="5"/>
      <c r="L55" s="5"/>
      <c r="M55" s="5"/>
      <c r="N55" s="5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2" t="s">
        <v>120</v>
      </c>
      <c r="AH55" s="4">
        <v>108.317217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2" t="s">
        <v>120</v>
      </c>
      <c r="BN55" s="4">
        <v>107.6428714</v>
      </c>
      <c r="BO55" s="6"/>
      <c r="BP55" s="6"/>
      <c r="BQ55" s="2" t="s">
        <v>121</v>
      </c>
      <c r="BR55" s="4">
        <v>111.3711047</v>
      </c>
      <c r="BS55" s="6"/>
      <c r="BT55" s="6"/>
      <c r="BU55" s="2" t="s">
        <v>130</v>
      </c>
      <c r="BV55" s="4">
        <v>107.296713</v>
      </c>
      <c r="BW55" s="6"/>
      <c r="BX55" s="6"/>
      <c r="BY55" s="2" t="s">
        <v>122</v>
      </c>
      <c r="BZ55" s="4">
        <v>108.4596844</v>
      </c>
      <c r="CA55" s="6"/>
      <c r="CB55" s="6"/>
    </row>
    <row r="56">
      <c r="A56" s="6"/>
      <c r="B56" s="6"/>
      <c r="C56" s="6"/>
      <c r="D56" s="6"/>
      <c r="E56" s="6"/>
      <c r="F56" s="6"/>
      <c r="G56" s="6"/>
      <c r="H56" s="5"/>
      <c r="I56" s="5"/>
      <c r="J56" s="5"/>
      <c r="K56" s="5"/>
      <c r="L56" s="5"/>
      <c r="M56" s="5"/>
      <c r="N56" s="5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2" t="s">
        <v>120</v>
      </c>
      <c r="BN56" s="4">
        <v>107.4136154</v>
      </c>
      <c r="BO56" s="6"/>
      <c r="BP56" s="6"/>
      <c r="BQ56" s="2" t="s">
        <v>121</v>
      </c>
      <c r="BR56" s="4">
        <v>111.081691</v>
      </c>
      <c r="BS56" s="6"/>
      <c r="BT56" s="6"/>
      <c r="BU56" s="2" t="s">
        <v>122</v>
      </c>
      <c r="BV56" s="4">
        <v>113.3823696</v>
      </c>
      <c r="BW56" s="6"/>
      <c r="BX56" s="6"/>
      <c r="BY56" s="2" t="s">
        <v>122</v>
      </c>
      <c r="BZ56" s="4">
        <v>110.8907929</v>
      </c>
      <c r="CA56" s="6"/>
      <c r="CB56" s="6"/>
    </row>
    <row r="57">
      <c r="A57" s="6"/>
      <c r="B57" s="6"/>
      <c r="C57" s="6"/>
      <c r="D57" s="6"/>
      <c r="E57" s="6"/>
      <c r="F57" s="6"/>
      <c r="G57" s="6"/>
      <c r="H57" s="5"/>
      <c r="I57" s="5"/>
      <c r="J57" s="5"/>
      <c r="K57" s="5"/>
      <c r="L57" s="5"/>
      <c r="M57" s="5"/>
      <c r="N57" s="5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2" t="s">
        <v>134</v>
      </c>
      <c r="BN57" s="4">
        <v>122.5227181</v>
      </c>
      <c r="BO57" s="6"/>
      <c r="BP57" s="6"/>
      <c r="BQ57" s="2" t="s">
        <v>121</v>
      </c>
      <c r="BR57" s="4">
        <v>110.4838723</v>
      </c>
      <c r="BS57" s="6"/>
      <c r="BT57" s="6"/>
      <c r="BU57" s="2" t="s">
        <v>121</v>
      </c>
      <c r="BV57" s="4">
        <v>108.8266462</v>
      </c>
      <c r="BW57" s="6"/>
      <c r="BX57" s="6"/>
      <c r="BY57" s="2" t="s">
        <v>122</v>
      </c>
      <c r="BZ57" s="4">
        <v>106.9488206</v>
      </c>
      <c r="CA57" s="6"/>
      <c r="CB57" s="6"/>
    </row>
    <row r="58">
      <c r="A58" s="6"/>
      <c r="B58" s="6"/>
      <c r="C58" s="6"/>
      <c r="D58" s="6"/>
      <c r="E58" s="6"/>
      <c r="F58" s="6"/>
      <c r="G58" s="6"/>
      <c r="H58" s="5"/>
      <c r="I58" s="5"/>
      <c r="J58" s="5"/>
      <c r="K58" s="5"/>
      <c r="L58" s="5"/>
      <c r="M58" s="5"/>
      <c r="N58" s="5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2" t="s">
        <v>127</v>
      </c>
      <c r="BN58" s="4">
        <v>113.1113925</v>
      </c>
      <c r="BO58" s="6"/>
      <c r="BP58" s="6"/>
      <c r="BQ58" s="2" t="s">
        <v>120</v>
      </c>
      <c r="BR58" s="4">
        <v>107.6269047</v>
      </c>
      <c r="BS58" s="6"/>
      <c r="BT58" s="6"/>
      <c r="BU58" s="2" t="s">
        <v>121</v>
      </c>
      <c r="BV58" s="4">
        <v>105.5092295</v>
      </c>
      <c r="BW58" s="6"/>
      <c r="BX58" s="6"/>
      <c r="BY58" s="2" t="s">
        <v>122</v>
      </c>
      <c r="BZ58" s="4">
        <v>111.652686</v>
      </c>
      <c r="CA58" s="6"/>
      <c r="CB58" s="6"/>
    </row>
    <row r="59">
      <c r="A59" s="6"/>
      <c r="B59" s="6"/>
      <c r="C59" s="6"/>
      <c r="D59" s="6"/>
      <c r="E59" s="6"/>
      <c r="F59" s="6"/>
      <c r="G59" s="6"/>
      <c r="H59" s="5"/>
      <c r="I59" s="5"/>
      <c r="J59" s="5"/>
      <c r="K59" s="5"/>
      <c r="L59" s="5"/>
      <c r="M59" s="5"/>
      <c r="N59" s="5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2" t="s">
        <v>127</v>
      </c>
      <c r="BN59" s="4">
        <v>124.3643058</v>
      </c>
      <c r="BO59" s="6"/>
      <c r="BP59" s="6"/>
      <c r="BQ59" s="2" t="s">
        <v>122</v>
      </c>
      <c r="BR59" s="4">
        <v>106.190004</v>
      </c>
      <c r="BS59" s="6"/>
      <c r="BT59" s="6"/>
      <c r="BU59" s="2" t="s">
        <v>122</v>
      </c>
      <c r="BV59" s="4">
        <v>107.4208098</v>
      </c>
      <c r="BW59" s="6"/>
      <c r="BX59" s="6"/>
      <c r="BY59" s="2" t="s">
        <v>121</v>
      </c>
      <c r="BZ59" s="4">
        <v>110.1656555</v>
      </c>
      <c r="CA59" s="6"/>
      <c r="CB59" s="6"/>
    </row>
    <row r="60">
      <c r="A60" s="6"/>
      <c r="B60" s="6"/>
      <c r="C60" s="6"/>
      <c r="D60" s="6"/>
      <c r="E60" s="6"/>
      <c r="F60" s="6"/>
      <c r="G60" s="6"/>
      <c r="H60" s="5"/>
      <c r="I60" s="5"/>
      <c r="J60" s="5"/>
      <c r="K60" s="5"/>
      <c r="L60" s="5"/>
      <c r="M60" s="5"/>
      <c r="N60" s="5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2" t="s">
        <v>121</v>
      </c>
      <c r="BR60" s="4">
        <v>113.524777</v>
      </c>
      <c r="BS60" s="6"/>
      <c r="BT60" s="6"/>
      <c r="BU60" s="2" t="s">
        <v>122</v>
      </c>
      <c r="BV60" s="4">
        <v>114.0748238</v>
      </c>
      <c r="BW60" s="6"/>
      <c r="BX60" s="6"/>
      <c r="BY60" s="2" t="s">
        <v>121</v>
      </c>
      <c r="BZ60" s="4">
        <v>109.8980091</v>
      </c>
      <c r="CA60" s="6"/>
      <c r="CB60" s="6"/>
    </row>
    <row r="61">
      <c r="A61" s="6"/>
      <c r="B61" s="6"/>
      <c r="C61" s="6"/>
      <c r="D61" s="6"/>
      <c r="E61" s="6"/>
      <c r="F61" s="6"/>
      <c r="G61" s="6"/>
      <c r="H61" s="5"/>
      <c r="I61" s="5"/>
      <c r="J61" s="5"/>
      <c r="K61" s="5"/>
      <c r="L61" s="5"/>
      <c r="M61" s="5"/>
      <c r="N61" s="5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2" t="s">
        <v>121</v>
      </c>
      <c r="BR61" s="4">
        <v>111.8313479</v>
      </c>
      <c r="BS61" s="6"/>
      <c r="BT61" s="6"/>
      <c r="BU61" s="2" t="s">
        <v>122</v>
      </c>
      <c r="BV61" s="4">
        <v>110.1787506</v>
      </c>
      <c r="BW61" s="6"/>
      <c r="BX61" s="6"/>
      <c r="BY61" s="2" t="s">
        <v>121</v>
      </c>
      <c r="BZ61" s="4">
        <v>108.6807232</v>
      </c>
      <c r="CA61" s="6"/>
      <c r="CB61" s="6"/>
    </row>
    <row r="62">
      <c r="A62" s="6"/>
      <c r="B62" s="6"/>
      <c r="C62" s="6"/>
      <c r="D62" s="6"/>
      <c r="E62" s="6"/>
      <c r="F62" s="6"/>
      <c r="G62" s="6"/>
      <c r="H62" s="5"/>
      <c r="I62" s="5"/>
      <c r="J62" s="5"/>
      <c r="K62" s="5"/>
      <c r="L62" s="5"/>
      <c r="M62" s="5"/>
      <c r="N62" s="5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2" t="s">
        <v>121</v>
      </c>
      <c r="BR62" s="4">
        <v>107.7617394</v>
      </c>
      <c r="BS62" s="6"/>
      <c r="BT62" s="6"/>
      <c r="BU62" s="2" t="s">
        <v>122</v>
      </c>
      <c r="BV62" s="4">
        <v>107.9490783</v>
      </c>
      <c r="BW62" s="6"/>
      <c r="BX62" s="6"/>
      <c r="BY62" s="2" t="s">
        <v>121</v>
      </c>
      <c r="BZ62" s="4">
        <v>109.5420837</v>
      </c>
      <c r="CA62" s="6"/>
      <c r="CB62" s="6"/>
    </row>
    <row r="63">
      <c r="A63" s="6"/>
      <c r="B63" s="6"/>
      <c r="C63" s="6"/>
      <c r="D63" s="6"/>
      <c r="E63" s="6"/>
      <c r="F63" s="6"/>
      <c r="G63" s="6"/>
      <c r="H63" s="5"/>
      <c r="I63" s="5"/>
      <c r="J63" s="5"/>
      <c r="K63" s="5"/>
      <c r="L63" s="5"/>
      <c r="M63" s="5"/>
      <c r="N63" s="5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2" t="s">
        <v>121</v>
      </c>
      <c r="BR63" s="4">
        <v>109.6053481</v>
      </c>
      <c r="BS63" s="6"/>
      <c r="BT63" s="6"/>
      <c r="BU63" s="2" t="s">
        <v>122</v>
      </c>
      <c r="BV63" s="4">
        <v>111.148913</v>
      </c>
      <c r="BW63" s="6"/>
      <c r="BX63" s="6"/>
      <c r="BY63" s="2" t="s">
        <v>120</v>
      </c>
      <c r="BZ63" s="4">
        <v>106.7715728</v>
      </c>
      <c r="CA63" s="6"/>
      <c r="CB63" s="6"/>
    </row>
    <row r="64">
      <c r="A64" s="6"/>
      <c r="B64" s="6"/>
      <c r="C64" s="6"/>
      <c r="D64" s="6"/>
      <c r="E64" s="6"/>
      <c r="F64" s="6"/>
      <c r="G64" s="6"/>
      <c r="H64" s="5"/>
      <c r="I64" s="5"/>
      <c r="J64" s="5"/>
      <c r="K64" s="5"/>
      <c r="L64" s="5"/>
      <c r="M64" s="5"/>
      <c r="N64" s="5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2" t="s">
        <v>120</v>
      </c>
      <c r="BR64" s="4">
        <v>107.8125215</v>
      </c>
      <c r="BS64" s="6"/>
      <c r="BT64" s="6"/>
      <c r="BU64" s="2" t="s">
        <v>122</v>
      </c>
      <c r="BV64" s="4">
        <v>106.0944848</v>
      </c>
      <c r="BW64" s="6"/>
      <c r="BX64" s="6"/>
      <c r="BY64" s="2" t="s">
        <v>127</v>
      </c>
      <c r="BZ64" s="4">
        <v>123.9275471</v>
      </c>
      <c r="CA64" s="6"/>
      <c r="CB64" s="6"/>
    </row>
    <row r="65">
      <c r="A65" s="6"/>
      <c r="B65" s="6"/>
      <c r="C65" s="6"/>
      <c r="D65" s="6"/>
      <c r="E65" s="6"/>
      <c r="F65" s="6"/>
      <c r="G65" s="6"/>
      <c r="H65" s="5"/>
      <c r="I65" s="5"/>
      <c r="J65" s="5"/>
      <c r="K65" s="5"/>
      <c r="L65" s="5"/>
      <c r="M65" s="5"/>
      <c r="N65" s="5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2" t="s">
        <v>122</v>
      </c>
      <c r="BR65" s="4">
        <v>111.8413734</v>
      </c>
      <c r="BS65" s="6"/>
      <c r="BT65" s="6"/>
      <c r="BU65" s="2" t="s">
        <v>122</v>
      </c>
      <c r="BV65" s="4">
        <v>112.2783188</v>
      </c>
      <c r="BW65" s="6"/>
      <c r="BX65" s="6"/>
      <c r="BY65" s="2" t="s">
        <v>127</v>
      </c>
      <c r="BZ65" s="4">
        <v>119.7502328</v>
      </c>
      <c r="CA65" s="6"/>
      <c r="CB65" s="6"/>
    </row>
    <row r="66">
      <c r="A66" s="6"/>
      <c r="B66" s="6"/>
      <c r="C66" s="6"/>
      <c r="D66" s="6"/>
      <c r="E66" s="6"/>
      <c r="F66" s="6"/>
      <c r="G66" s="6"/>
      <c r="H66" s="5"/>
      <c r="I66" s="5"/>
      <c r="J66" s="5"/>
      <c r="K66" s="5"/>
      <c r="L66" s="5"/>
      <c r="M66" s="5"/>
      <c r="N66" s="5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2" t="s">
        <v>121</v>
      </c>
      <c r="BR66" s="4">
        <v>110.0452378</v>
      </c>
      <c r="BS66" s="6"/>
      <c r="BT66" s="6"/>
      <c r="BU66" s="2" t="s">
        <v>121</v>
      </c>
      <c r="BV66" s="4">
        <v>110.0222998</v>
      </c>
      <c r="BW66" s="6"/>
      <c r="BX66" s="6"/>
      <c r="BY66" s="2" t="s">
        <v>122</v>
      </c>
      <c r="BZ66" s="4">
        <v>116.263819</v>
      </c>
      <c r="CA66" s="6"/>
      <c r="CB66" s="6"/>
    </row>
    <row r="67">
      <c r="A67" s="6"/>
      <c r="B67" s="6"/>
      <c r="C67" s="6"/>
      <c r="D67" s="6"/>
      <c r="E67" s="6"/>
      <c r="F67" s="6"/>
      <c r="G67" s="6"/>
      <c r="H67" s="5"/>
      <c r="I67" s="5"/>
      <c r="J67" s="5"/>
      <c r="K67" s="5"/>
      <c r="L67" s="5"/>
      <c r="M67" s="5"/>
      <c r="N67" s="5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2" t="s">
        <v>121</v>
      </c>
      <c r="BR67" s="4">
        <v>110.0451616</v>
      </c>
      <c r="BS67" s="6"/>
      <c r="BT67" s="6"/>
      <c r="BU67" s="2" t="s">
        <v>121</v>
      </c>
      <c r="BV67" s="4">
        <v>109.8736774</v>
      </c>
      <c r="BW67" s="6"/>
      <c r="BX67" s="6"/>
      <c r="BY67" s="2" t="s">
        <v>121</v>
      </c>
      <c r="BZ67" s="4">
        <v>112.5455202</v>
      </c>
      <c r="CA67" s="6"/>
      <c r="CB67" s="6"/>
    </row>
    <row r="68">
      <c r="A68" s="6"/>
      <c r="B68" s="6"/>
      <c r="C68" s="6"/>
      <c r="D68" s="6"/>
      <c r="E68" s="6"/>
      <c r="F68" s="6"/>
      <c r="G68" s="6"/>
      <c r="H68" s="5"/>
      <c r="I68" s="5"/>
      <c r="J68" s="5"/>
      <c r="K68" s="5"/>
      <c r="L68" s="5"/>
      <c r="M68" s="5"/>
      <c r="N68" s="5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2" t="s">
        <v>121</v>
      </c>
      <c r="BR68" s="4">
        <v>108.5935513</v>
      </c>
      <c r="BS68" s="6"/>
      <c r="BT68" s="6"/>
      <c r="BU68" s="2" t="s">
        <v>121</v>
      </c>
      <c r="BV68" s="4">
        <v>108.558061</v>
      </c>
      <c r="BW68" s="6"/>
      <c r="BX68" s="6"/>
      <c r="BY68" s="2" t="s">
        <v>121</v>
      </c>
      <c r="BZ68" s="4">
        <v>111.738588</v>
      </c>
      <c r="CA68" s="6"/>
      <c r="CB68" s="6"/>
    </row>
    <row r="69">
      <c r="A69" s="6"/>
      <c r="B69" s="6"/>
      <c r="C69" s="6"/>
      <c r="D69" s="6"/>
      <c r="E69" s="6"/>
      <c r="F69" s="6"/>
      <c r="G69" s="6"/>
      <c r="H69" s="5"/>
      <c r="I69" s="5"/>
      <c r="J69" s="5"/>
      <c r="K69" s="5"/>
      <c r="L69" s="5"/>
      <c r="M69" s="5"/>
      <c r="N69" s="5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2" t="s">
        <v>121</v>
      </c>
      <c r="BR69" s="4">
        <v>109.42256</v>
      </c>
      <c r="BS69" s="6"/>
      <c r="BT69" s="6"/>
      <c r="BU69" s="2" t="s">
        <v>121</v>
      </c>
      <c r="BV69" s="4">
        <v>109.3009967</v>
      </c>
      <c r="BW69" s="6"/>
      <c r="BX69" s="6"/>
      <c r="BY69" s="2" t="s">
        <v>121</v>
      </c>
      <c r="BZ69" s="4">
        <v>112.4099441</v>
      </c>
      <c r="CA69" s="6"/>
      <c r="CB69" s="6"/>
    </row>
    <row r="70">
      <c r="A70" s="6"/>
      <c r="B70" s="6"/>
      <c r="C70" s="6"/>
      <c r="D70" s="6"/>
      <c r="E70" s="6"/>
      <c r="F70" s="6"/>
      <c r="G70" s="6"/>
      <c r="H70" s="5"/>
      <c r="I70" s="5"/>
      <c r="J70" s="5"/>
      <c r="K70" s="5"/>
      <c r="L70" s="5"/>
      <c r="M70" s="5"/>
      <c r="N70" s="5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2" t="s">
        <v>120</v>
      </c>
      <c r="BR70" s="4">
        <v>106.749651</v>
      </c>
      <c r="BS70" s="6"/>
      <c r="BT70" s="6"/>
      <c r="BU70" s="2" t="s">
        <v>120</v>
      </c>
      <c r="BV70" s="4">
        <v>106.6381071</v>
      </c>
      <c r="BW70" s="6"/>
      <c r="BX70" s="6"/>
      <c r="BY70" s="2" t="s">
        <v>120</v>
      </c>
      <c r="BZ70" s="4">
        <v>107.3105373</v>
      </c>
      <c r="CA70" s="6"/>
      <c r="CB70" s="6"/>
    </row>
    <row r="71">
      <c r="A71" s="6"/>
      <c r="B71" s="6"/>
      <c r="C71" s="6"/>
      <c r="D71" s="6"/>
      <c r="E71" s="6"/>
      <c r="F71" s="6"/>
      <c r="G71" s="6"/>
      <c r="H71" s="5"/>
      <c r="I71" s="5"/>
      <c r="J71" s="5"/>
      <c r="K71" s="5"/>
      <c r="L71" s="5"/>
      <c r="M71" s="5"/>
      <c r="N71" s="5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2" t="s">
        <v>121</v>
      </c>
      <c r="BR71" s="4">
        <v>111.5550213</v>
      </c>
      <c r="BS71" s="6"/>
      <c r="BT71" s="6"/>
      <c r="BU71" s="2" t="s">
        <v>121</v>
      </c>
      <c r="BV71" s="4">
        <v>112.7240896</v>
      </c>
      <c r="BW71" s="6"/>
      <c r="BX71" s="6"/>
      <c r="BY71" s="2" t="s">
        <v>120</v>
      </c>
      <c r="BZ71" s="4">
        <v>106.9648165</v>
      </c>
      <c r="CA71" s="6"/>
      <c r="CB71" s="6"/>
    </row>
    <row r="72">
      <c r="A72" s="6"/>
      <c r="B72" s="6"/>
      <c r="C72" s="6"/>
      <c r="D72" s="6"/>
      <c r="E72" s="6"/>
      <c r="F72" s="6"/>
      <c r="G72" s="6"/>
      <c r="H72" s="5"/>
      <c r="I72" s="5"/>
      <c r="J72" s="5"/>
      <c r="K72" s="5"/>
      <c r="L72" s="5"/>
      <c r="M72" s="5"/>
      <c r="N72" s="5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2" t="s">
        <v>121</v>
      </c>
      <c r="BR72" s="4">
        <v>112.8812986</v>
      </c>
      <c r="BS72" s="6"/>
      <c r="BT72" s="6"/>
      <c r="BU72" s="2" t="s">
        <v>121</v>
      </c>
      <c r="BV72" s="4">
        <v>111.0429042</v>
      </c>
      <c r="BW72" s="6"/>
      <c r="BX72" s="6"/>
      <c r="BY72" s="2" t="s">
        <v>120</v>
      </c>
      <c r="BZ72" s="4">
        <v>105.4363929</v>
      </c>
      <c r="CA72" s="6"/>
      <c r="CB72" s="6"/>
    </row>
    <row r="73">
      <c r="A73" s="6"/>
      <c r="B73" s="6"/>
      <c r="C73" s="6"/>
      <c r="D73" s="6"/>
      <c r="E73" s="6"/>
      <c r="F73" s="6"/>
      <c r="G73" s="6"/>
      <c r="H73" s="5"/>
      <c r="I73" s="5"/>
      <c r="J73" s="5"/>
      <c r="K73" s="5"/>
      <c r="L73" s="5"/>
      <c r="M73" s="5"/>
      <c r="N73" s="5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2" t="s">
        <v>121</v>
      </c>
      <c r="BR73" s="4">
        <v>112.5949027</v>
      </c>
      <c r="BS73" s="6"/>
      <c r="BT73" s="6"/>
      <c r="BU73" s="2" t="s">
        <v>121</v>
      </c>
      <c r="BV73" s="4">
        <v>113.09267</v>
      </c>
      <c r="BW73" s="6"/>
      <c r="BX73" s="6"/>
      <c r="BY73" s="2" t="s">
        <v>122</v>
      </c>
      <c r="BZ73" s="4">
        <v>110.346509</v>
      </c>
      <c r="CA73" s="6"/>
      <c r="CB73" s="6"/>
    </row>
    <row r="74">
      <c r="A74" s="6"/>
      <c r="B74" s="6"/>
      <c r="C74" s="6"/>
      <c r="D74" s="6"/>
      <c r="E74" s="6"/>
      <c r="F74" s="6"/>
      <c r="G74" s="6"/>
      <c r="H74" s="5"/>
      <c r="I74" s="5"/>
      <c r="J74" s="5"/>
      <c r="K74" s="5"/>
      <c r="L74" s="5"/>
      <c r="M74" s="5"/>
      <c r="N74" s="5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2" t="s">
        <v>120</v>
      </c>
      <c r="BR74" s="4">
        <v>106.2107594</v>
      </c>
      <c r="BS74" s="6"/>
      <c r="BT74" s="6"/>
      <c r="BU74" s="2" t="s">
        <v>120</v>
      </c>
      <c r="BV74" s="4">
        <v>106.8507993</v>
      </c>
      <c r="BW74" s="6"/>
      <c r="BX74" s="6"/>
      <c r="BY74" s="2" t="s">
        <v>121</v>
      </c>
      <c r="BZ74" s="4">
        <v>110.2219101</v>
      </c>
      <c r="CA74" s="6"/>
      <c r="CB74" s="6"/>
    </row>
    <row r="75">
      <c r="A75" s="6"/>
      <c r="B75" s="6"/>
      <c r="C75" s="6"/>
      <c r="D75" s="6"/>
      <c r="E75" s="6"/>
      <c r="F75" s="6"/>
      <c r="G75" s="6"/>
      <c r="H75" s="5"/>
      <c r="I75" s="5"/>
      <c r="J75" s="5"/>
      <c r="K75" s="5"/>
      <c r="L75" s="5"/>
      <c r="M75" s="5"/>
      <c r="N75" s="5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2" t="s">
        <v>120</v>
      </c>
      <c r="BR75" s="4">
        <v>107.1292982</v>
      </c>
      <c r="BS75" s="6"/>
      <c r="BT75" s="6"/>
      <c r="BU75" s="2" t="s">
        <v>120</v>
      </c>
      <c r="BV75" s="4">
        <v>105.9502158</v>
      </c>
      <c r="BW75" s="6"/>
      <c r="BX75" s="6"/>
      <c r="BY75" s="2" t="s">
        <v>121</v>
      </c>
      <c r="BZ75" s="4">
        <v>108.7596054</v>
      </c>
      <c r="CA75" s="6"/>
      <c r="CB75" s="6"/>
    </row>
    <row r="76">
      <c r="A76" s="6"/>
      <c r="B76" s="6"/>
      <c r="C76" s="6"/>
      <c r="D76" s="6"/>
      <c r="E76" s="6"/>
      <c r="F76" s="6"/>
      <c r="G76" s="6"/>
      <c r="H76" s="5"/>
      <c r="I76" s="5"/>
      <c r="J76" s="5"/>
      <c r="K76" s="5"/>
      <c r="L76" s="5"/>
      <c r="M76" s="5"/>
      <c r="N76" s="5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2" t="s">
        <v>120</v>
      </c>
      <c r="BR76" s="4">
        <v>106.0190944</v>
      </c>
      <c r="BS76" s="6"/>
      <c r="BT76" s="6"/>
      <c r="BU76" s="2" t="s">
        <v>120</v>
      </c>
      <c r="BV76" s="4">
        <v>106.748054</v>
      </c>
      <c r="BW76" s="6"/>
      <c r="BX76" s="6"/>
      <c r="BY76" s="2" t="s">
        <v>121</v>
      </c>
      <c r="BZ76" s="4">
        <v>109.8514192</v>
      </c>
      <c r="CA76" s="6"/>
      <c r="CB76" s="6"/>
    </row>
    <row r="77">
      <c r="A77" s="6"/>
      <c r="B77" s="6"/>
      <c r="C77" s="6"/>
      <c r="D77" s="6"/>
      <c r="E77" s="6"/>
      <c r="F77" s="6"/>
      <c r="G77" s="6"/>
      <c r="H77" s="5"/>
      <c r="I77" s="5"/>
      <c r="J77" s="5"/>
      <c r="K77" s="5"/>
      <c r="L77" s="5"/>
      <c r="M77" s="5"/>
      <c r="N77" s="5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2" t="s">
        <v>122</v>
      </c>
      <c r="BR77" s="4">
        <v>116.3167899</v>
      </c>
      <c r="BS77" s="6"/>
      <c r="BT77" s="6"/>
      <c r="BU77" s="2" t="s">
        <v>122</v>
      </c>
      <c r="BV77" s="4">
        <v>110.3638826</v>
      </c>
      <c r="BW77" s="6"/>
      <c r="BX77" s="6"/>
      <c r="BY77" s="2" t="s">
        <v>121</v>
      </c>
      <c r="BZ77" s="4">
        <v>111.445785</v>
      </c>
      <c r="CA77" s="6"/>
      <c r="CB77" s="6"/>
    </row>
    <row r="78">
      <c r="A78" s="6"/>
      <c r="B78" s="6"/>
      <c r="C78" s="6"/>
      <c r="D78" s="6"/>
      <c r="E78" s="6"/>
      <c r="F78" s="6"/>
      <c r="G78" s="6"/>
      <c r="H78" s="5"/>
      <c r="I78" s="5"/>
      <c r="J78" s="5"/>
      <c r="K78" s="5"/>
      <c r="L78" s="5"/>
      <c r="M78" s="5"/>
      <c r="N78" s="5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2" t="s">
        <v>122</v>
      </c>
      <c r="BR78" s="4">
        <v>124.1234584</v>
      </c>
      <c r="BS78" s="6"/>
      <c r="BT78" s="6"/>
      <c r="BU78" s="2" t="s">
        <v>121</v>
      </c>
      <c r="BV78" s="4">
        <v>110.1349799</v>
      </c>
      <c r="BW78" s="6"/>
      <c r="BX78" s="6"/>
      <c r="BY78" s="2" t="s">
        <v>120</v>
      </c>
      <c r="BZ78" s="4">
        <v>106.129657</v>
      </c>
      <c r="CA78" s="6"/>
      <c r="CB78" s="6"/>
    </row>
    <row r="79">
      <c r="A79" s="6"/>
      <c r="B79" s="6"/>
      <c r="C79" s="6"/>
      <c r="D79" s="6"/>
      <c r="E79" s="6"/>
      <c r="F79" s="6"/>
      <c r="G79" s="6"/>
      <c r="H79" s="5"/>
      <c r="I79" s="5"/>
      <c r="J79" s="5"/>
      <c r="K79" s="5"/>
      <c r="L79" s="5"/>
      <c r="M79" s="5"/>
      <c r="N79" s="5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2" t="s">
        <v>122</v>
      </c>
      <c r="BR79" s="4">
        <v>119.5337716</v>
      </c>
      <c r="BS79" s="6"/>
      <c r="BT79" s="6"/>
      <c r="BU79" s="2" t="s">
        <v>121</v>
      </c>
      <c r="BV79" s="4">
        <v>108.8407359</v>
      </c>
      <c r="BW79" s="6"/>
      <c r="BX79" s="6"/>
      <c r="BY79" s="2" t="s">
        <v>122</v>
      </c>
      <c r="BZ79" s="4">
        <v>116.4160552</v>
      </c>
      <c r="CA79" s="6"/>
      <c r="CB79" s="6"/>
    </row>
    <row r="80">
      <c r="A80" s="6"/>
      <c r="B80" s="6"/>
      <c r="C80" s="6"/>
      <c r="D80" s="6"/>
      <c r="E80" s="6"/>
      <c r="F80" s="6"/>
      <c r="G80" s="6"/>
      <c r="H80" s="5"/>
      <c r="I80" s="5"/>
      <c r="J80" s="5"/>
      <c r="K80" s="5"/>
      <c r="L80" s="5"/>
      <c r="M80" s="5"/>
      <c r="N80" s="5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2" t="s">
        <v>122</v>
      </c>
      <c r="BR80" s="4">
        <v>111.8519693</v>
      </c>
      <c r="BS80" s="6"/>
      <c r="BT80" s="6"/>
      <c r="BU80" s="2" t="s">
        <v>121</v>
      </c>
      <c r="BV80" s="4">
        <v>109.8173493</v>
      </c>
      <c r="BW80" s="6"/>
      <c r="BX80" s="6"/>
      <c r="BY80" s="2" t="s">
        <v>122</v>
      </c>
      <c r="BZ80" s="4">
        <v>123.802998</v>
      </c>
      <c r="CA80" s="6"/>
      <c r="CB80" s="6"/>
    </row>
    <row r="81">
      <c r="A81" s="6"/>
      <c r="B81" s="6"/>
      <c r="C81" s="6"/>
      <c r="D81" s="6"/>
      <c r="E81" s="6"/>
      <c r="F81" s="6"/>
      <c r="G81" s="6"/>
      <c r="H81" s="5"/>
      <c r="I81" s="5"/>
      <c r="J81" s="5"/>
      <c r="K81" s="5"/>
      <c r="L81" s="5"/>
      <c r="M81" s="5"/>
      <c r="N81" s="5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2" t="s">
        <v>121</v>
      </c>
      <c r="BR81" s="4">
        <v>109.5862885</v>
      </c>
      <c r="BS81" s="6"/>
      <c r="BT81" s="6"/>
      <c r="BU81" s="2" t="s">
        <v>121</v>
      </c>
      <c r="BV81" s="4">
        <v>111.4397501</v>
      </c>
      <c r="BW81" s="6"/>
      <c r="BX81" s="6"/>
      <c r="BY81" s="2" t="s">
        <v>122</v>
      </c>
      <c r="BZ81" s="4">
        <v>119.7363115</v>
      </c>
      <c r="CA81" s="6"/>
      <c r="CB81" s="6"/>
    </row>
    <row r="82">
      <c r="A82" s="6"/>
      <c r="B82" s="6"/>
      <c r="C82" s="6"/>
      <c r="D82" s="6"/>
      <c r="E82" s="6"/>
      <c r="F82" s="6"/>
      <c r="G82" s="6"/>
      <c r="H82" s="5"/>
      <c r="I82" s="5"/>
      <c r="J82" s="5"/>
      <c r="K82" s="5"/>
      <c r="L82" s="5"/>
      <c r="M82" s="5"/>
      <c r="N82" s="5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2" t="s">
        <v>121</v>
      </c>
      <c r="BR82" s="4">
        <v>108.6921149</v>
      </c>
      <c r="BS82" s="6"/>
      <c r="BT82" s="6"/>
      <c r="BU82" s="2" t="s">
        <v>120</v>
      </c>
      <c r="BV82" s="4">
        <v>106.1575225</v>
      </c>
      <c r="BW82" s="6"/>
      <c r="BX82" s="6"/>
      <c r="BY82" s="2" t="s">
        <v>127</v>
      </c>
      <c r="BZ82" s="4">
        <v>121.2938421</v>
      </c>
      <c r="CA82" s="6"/>
      <c r="CB82" s="6"/>
    </row>
    <row r="83">
      <c r="A83" s="6"/>
      <c r="B83" s="6"/>
      <c r="C83" s="6"/>
      <c r="D83" s="6"/>
      <c r="E83" s="6"/>
      <c r="F83" s="6"/>
      <c r="G83" s="6"/>
      <c r="H83" s="5"/>
      <c r="I83" s="5"/>
      <c r="J83" s="5"/>
      <c r="K83" s="5"/>
      <c r="L83" s="5"/>
      <c r="M83" s="5"/>
      <c r="N83" s="5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2" t="s">
        <v>121</v>
      </c>
      <c r="BR83" s="4">
        <v>109.0503871</v>
      </c>
      <c r="BS83" s="6"/>
      <c r="BT83" s="6"/>
      <c r="BU83" s="2" t="s">
        <v>122</v>
      </c>
      <c r="BV83" s="4">
        <v>115.9798699</v>
      </c>
      <c r="BW83" s="6"/>
      <c r="BX83" s="6"/>
      <c r="BY83" s="2" t="s">
        <v>127</v>
      </c>
      <c r="BZ83" s="4">
        <v>122.4201071</v>
      </c>
      <c r="CA83" s="6"/>
      <c r="CB83" s="6"/>
    </row>
    <row r="84">
      <c r="A84" s="6"/>
      <c r="B84" s="6"/>
      <c r="C84" s="6"/>
      <c r="D84" s="6"/>
      <c r="E84" s="6"/>
      <c r="F84" s="6"/>
      <c r="G84" s="6"/>
      <c r="H84" s="5"/>
      <c r="I84" s="5"/>
      <c r="J84" s="5"/>
      <c r="K84" s="5"/>
      <c r="L84" s="5"/>
      <c r="M84" s="5"/>
      <c r="N84" s="5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2" t="s">
        <v>121</v>
      </c>
      <c r="BR84" s="4">
        <v>111.305989</v>
      </c>
      <c r="BS84" s="6"/>
      <c r="BT84" s="6"/>
      <c r="BU84" s="2" t="s">
        <v>122</v>
      </c>
      <c r="BV84" s="4">
        <v>123.776513</v>
      </c>
      <c r="BW84" s="6"/>
      <c r="BX84" s="6"/>
      <c r="BY84" s="2" t="s">
        <v>122</v>
      </c>
      <c r="BZ84" s="4">
        <v>116.2860469</v>
      </c>
      <c r="CA84" s="6"/>
      <c r="CB84" s="6"/>
    </row>
    <row r="85">
      <c r="A85" s="6"/>
      <c r="B85" s="6"/>
      <c r="C85" s="6"/>
      <c r="D85" s="6"/>
      <c r="E85" s="6"/>
      <c r="F85" s="6"/>
      <c r="G85" s="6"/>
      <c r="H85" s="5"/>
      <c r="I85" s="5"/>
      <c r="J85" s="5"/>
      <c r="K85" s="5"/>
      <c r="L85" s="5"/>
      <c r="M85" s="5"/>
      <c r="N85" s="5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2" t="s">
        <v>120</v>
      </c>
      <c r="BR85" s="4">
        <v>106.1879171</v>
      </c>
      <c r="BS85" s="6"/>
      <c r="BT85" s="6"/>
      <c r="BU85" s="2" t="s">
        <v>122</v>
      </c>
      <c r="BV85" s="4">
        <v>120.2053532</v>
      </c>
      <c r="BW85" s="6"/>
      <c r="BX85" s="6"/>
      <c r="BY85" s="2" t="s">
        <v>121</v>
      </c>
      <c r="BZ85" s="4">
        <v>112.6628377</v>
      </c>
      <c r="CA85" s="6"/>
      <c r="CB85" s="6"/>
    </row>
    <row r="86">
      <c r="A86" s="6"/>
      <c r="B86" s="6"/>
      <c r="C86" s="6"/>
      <c r="D86" s="6"/>
      <c r="E86" s="6"/>
      <c r="F86" s="6"/>
      <c r="G86" s="6"/>
      <c r="H86" s="5"/>
      <c r="I86" s="5"/>
      <c r="J86" s="5"/>
      <c r="K86" s="5"/>
      <c r="L86" s="5"/>
      <c r="M86" s="5"/>
      <c r="N86" s="5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2" t="s">
        <v>122</v>
      </c>
      <c r="BR86" s="4">
        <v>113.5875657</v>
      </c>
      <c r="BS86" s="6"/>
      <c r="BT86" s="6"/>
      <c r="BU86" s="2" t="s">
        <v>127</v>
      </c>
      <c r="BV86" s="4">
        <v>121.2929822</v>
      </c>
      <c r="BW86" s="6"/>
      <c r="BX86" s="6"/>
      <c r="BY86" s="2" t="s">
        <v>121</v>
      </c>
      <c r="BZ86" s="4">
        <v>112.3303806</v>
      </c>
      <c r="CA86" s="6"/>
      <c r="CB86" s="6"/>
    </row>
    <row r="87">
      <c r="A87" s="6"/>
      <c r="B87" s="6"/>
      <c r="C87" s="6"/>
      <c r="D87" s="6"/>
      <c r="E87" s="6"/>
      <c r="F87" s="6"/>
      <c r="G87" s="6"/>
      <c r="H87" s="5"/>
      <c r="I87" s="5"/>
      <c r="J87" s="5"/>
      <c r="K87" s="5"/>
      <c r="L87" s="5"/>
      <c r="M87" s="5"/>
      <c r="N87" s="5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2" t="s">
        <v>121</v>
      </c>
      <c r="BR87" s="4">
        <v>109.4673177</v>
      </c>
      <c r="BS87" s="6"/>
      <c r="BT87" s="6"/>
      <c r="BU87" s="2" t="s">
        <v>127</v>
      </c>
      <c r="BV87" s="4">
        <v>122.4197945</v>
      </c>
      <c r="BW87" s="6"/>
      <c r="BX87" s="6"/>
      <c r="BY87" s="2" t="s">
        <v>121</v>
      </c>
      <c r="BZ87" s="4">
        <v>111.0172495</v>
      </c>
      <c r="CA87" s="6"/>
      <c r="CB87" s="6"/>
    </row>
    <row r="88">
      <c r="A88" s="6"/>
      <c r="B88" s="6"/>
      <c r="C88" s="6"/>
      <c r="D88" s="6"/>
      <c r="E88" s="6"/>
      <c r="F88" s="6"/>
      <c r="G88" s="6"/>
      <c r="H88" s="5"/>
      <c r="I88" s="5"/>
      <c r="J88" s="5"/>
      <c r="K88" s="5"/>
      <c r="L88" s="5"/>
      <c r="M88" s="5"/>
      <c r="N88" s="5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2" t="s">
        <v>121</v>
      </c>
      <c r="BR88" s="4">
        <v>110.6405519</v>
      </c>
      <c r="BS88" s="6"/>
      <c r="BT88" s="6"/>
      <c r="BU88" s="2" t="s">
        <v>122</v>
      </c>
      <c r="BV88" s="4">
        <v>116.2872169</v>
      </c>
      <c r="BW88" s="6"/>
      <c r="BX88" s="6"/>
      <c r="BY88" s="2" t="s">
        <v>120</v>
      </c>
      <c r="BZ88" s="4">
        <v>106.9434205</v>
      </c>
      <c r="CA88" s="6"/>
      <c r="CB88" s="6"/>
    </row>
    <row r="89">
      <c r="A89" s="6"/>
      <c r="B89" s="6"/>
      <c r="C89" s="6"/>
      <c r="D89" s="6"/>
      <c r="E89" s="6"/>
      <c r="F89" s="6"/>
      <c r="G89" s="6"/>
      <c r="H89" s="5"/>
      <c r="I89" s="5"/>
      <c r="J89" s="5"/>
      <c r="K89" s="5"/>
      <c r="L89" s="5"/>
      <c r="M89" s="5"/>
      <c r="N89" s="5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2" t="s">
        <v>121</v>
      </c>
      <c r="BR89" s="4">
        <v>107.8682648</v>
      </c>
      <c r="BS89" s="6"/>
      <c r="BT89" s="6"/>
      <c r="BU89" s="2" t="s">
        <v>121</v>
      </c>
      <c r="BV89" s="4">
        <v>110.7365424</v>
      </c>
      <c r="BW89" s="6"/>
      <c r="BX89" s="6"/>
      <c r="BY89" s="2" t="s">
        <v>120</v>
      </c>
      <c r="BZ89" s="4">
        <v>106.9542231</v>
      </c>
      <c r="CA89" s="6"/>
      <c r="CB89" s="6"/>
    </row>
    <row r="90">
      <c r="A90" s="6"/>
      <c r="B90" s="6"/>
      <c r="C90" s="6"/>
      <c r="D90" s="6"/>
      <c r="E90" s="6"/>
      <c r="F90" s="6"/>
      <c r="G90" s="6"/>
      <c r="H90" s="5"/>
      <c r="I90" s="5"/>
      <c r="J90" s="5"/>
      <c r="K90" s="5"/>
      <c r="L90" s="5"/>
      <c r="M90" s="5"/>
      <c r="N90" s="5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2" t="s">
        <v>121</v>
      </c>
      <c r="BR90" s="4">
        <v>108.6262566</v>
      </c>
      <c r="BS90" s="6"/>
      <c r="BT90" s="6"/>
      <c r="BU90" s="2" t="s">
        <v>121</v>
      </c>
      <c r="BV90" s="4">
        <v>110.5022084</v>
      </c>
      <c r="BW90" s="6"/>
      <c r="BX90" s="6"/>
      <c r="BY90" s="2" t="s">
        <v>120</v>
      </c>
      <c r="BZ90" s="4">
        <v>106.5661905</v>
      </c>
      <c r="CA90" s="6"/>
      <c r="CB90" s="6"/>
    </row>
    <row r="91">
      <c r="A91" s="6"/>
      <c r="B91" s="6"/>
      <c r="C91" s="6"/>
      <c r="D91" s="6"/>
      <c r="E91" s="6"/>
      <c r="F91" s="6"/>
      <c r="G91" s="6"/>
      <c r="H91" s="5"/>
      <c r="I91" s="5"/>
      <c r="J91" s="5"/>
      <c r="K91" s="5"/>
      <c r="L91" s="5"/>
      <c r="M91" s="5"/>
      <c r="N91" s="5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2" t="s">
        <v>120</v>
      </c>
      <c r="BR91" s="4">
        <v>106.363292</v>
      </c>
      <c r="BS91" s="6"/>
      <c r="BT91" s="6"/>
      <c r="BU91" s="2" t="s">
        <v>121</v>
      </c>
      <c r="BV91" s="4">
        <v>111.623306</v>
      </c>
      <c r="BW91" s="6"/>
      <c r="BX91" s="6"/>
      <c r="BY91" s="2" t="s">
        <v>122</v>
      </c>
      <c r="BZ91" s="4">
        <v>125.4188351</v>
      </c>
      <c r="CA91" s="6"/>
      <c r="CB91" s="6"/>
    </row>
    <row r="92">
      <c r="A92" s="6"/>
      <c r="B92" s="6"/>
      <c r="C92" s="6"/>
      <c r="D92" s="6"/>
      <c r="E92" s="6"/>
      <c r="F92" s="6"/>
      <c r="G92" s="6"/>
      <c r="H92" s="5"/>
      <c r="I92" s="5"/>
      <c r="J92" s="5"/>
      <c r="K92" s="5"/>
      <c r="L92" s="5"/>
      <c r="M92" s="5"/>
      <c r="N92" s="5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2" t="s">
        <v>121</v>
      </c>
      <c r="BR92" s="4">
        <v>112.2588916</v>
      </c>
      <c r="BS92" s="6"/>
      <c r="BT92" s="6"/>
      <c r="BU92" s="2" t="s">
        <v>120</v>
      </c>
      <c r="BV92" s="4">
        <v>107.8956883</v>
      </c>
      <c r="BW92" s="6"/>
      <c r="BX92" s="6"/>
      <c r="BY92" s="2" t="s">
        <v>121</v>
      </c>
      <c r="BZ92" s="4">
        <v>118.0456199</v>
      </c>
      <c r="CA92" s="6"/>
      <c r="CB92" s="6"/>
    </row>
    <row r="93">
      <c r="A93" s="6"/>
      <c r="B93" s="6"/>
      <c r="C93" s="6"/>
      <c r="D93" s="6"/>
      <c r="E93" s="6"/>
      <c r="F93" s="6"/>
      <c r="G93" s="6"/>
      <c r="H93" s="5"/>
      <c r="I93" s="5"/>
      <c r="J93" s="5"/>
      <c r="K93" s="5"/>
      <c r="L93" s="5"/>
      <c r="M93" s="5"/>
      <c r="N93" s="5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2" t="s">
        <v>121</v>
      </c>
      <c r="BR93" s="4">
        <v>111.960565</v>
      </c>
      <c r="BS93" s="6"/>
      <c r="BT93" s="6"/>
      <c r="BU93" s="2" t="s">
        <v>120</v>
      </c>
      <c r="BV93" s="4">
        <v>108.2792497</v>
      </c>
      <c r="BW93" s="6"/>
      <c r="BX93" s="6"/>
      <c r="BY93" s="2" t="s">
        <v>121</v>
      </c>
      <c r="BZ93" s="4">
        <v>116.5121111</v>
      </c>
      <c r="CA93" s="6"/>
      <c r="CB93" s="6"/>
    </row>
    <row r="94">
      <c r="A94" s="6"/>
      <c r="B94" s="6"/>
      <c r="C94" s="6"/>
      <c r="D94" s="6"/>
      <c r="E94" s="6"/>
      <c r="F94" s="6"/>
      <c r="G94" s="6"/>
      <c r="H94" s="5"/>
      <c r="I94" s="5"/>
      <c r="J94" s="5"/>
      <c r="K94" s="5"/>
      <c r="L94" s="5"/>
      <c r="M94" s="5"/>
      <c r="N94" s="5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2" t="s">
        <v>121</v>
      </c>
      <c r="BR94" s="4">
        <v>111.5147241</v>
      </c>
      <c r="BS94" s="6"/>
      <c r="BT94" s="6"/>
      <c r="BU94" s="2" t="s">
        <v>120</v>
      </c>
      <c r="BV94" s="4">
        <v>107.6660149</v>
      </c>
      <c r="BW94" s="6"/>
      <c r="BX94" s="6"/>
      <c r="BY94" s="2" t="s">
        <v>122</v>
      </c>
      <c r="BZ94" s="4">
        <v>121.5168193</v>
      </c>
      <c r="CA94" s="6"/>
      <c r="CB94" s="6"/>
    </row>
    <row r="95">
      <c r="A95" s="6"/>
      <c r="B95" s="6"/>
      <c r="C95" s="6"/>
      <c r="D95" s="6"/>
      <c r="E95" s="6"/>
      <c r="F95" s="6"/>
      <c r="G95" s="6"/>
      <c r="H95" s="5"/>
      <c r="I95" s="5"/>
      <c r="J95" s="5"/>
      <c r="K95" s="5"/>
      <c r="L95" s="5"/>
      <c r="M95" s="5"/>
      <c r="N95" s="5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2" t="s">
        <v>120</v>
      </c>
      <c r="BR95" s="4">
        <v>107.8027234</v>
      </c>
      <c r="BS95" s="6"/>
      <c r="BT95" s="6"/>
      <c r="BU95" s="2" t="s">
        <v>121</v>
      </c>
      <c r="BV95" s="4">
        <v>112.684965</v>
      </c>
      <c r="BW95" s="6"/>
      <c r="BX95" s="6"/>
      <c r="BY95" s="2" t="s">
        <v>121</v>
      </c>
      <c r="BZ95" s="4">
        <v>121.7954575</v>
      </c>
      <c r="CA95" s="6"/>
      <c r="CB95" s="6"/>
    </row>
    <row r="96">
      <c r="A96" s="6"/>
      <c r="B96" s="6"/>
      <c r="C96" s="6"/>
      <c r="D96" s="6"/>
      <c r="E96" s="6"/>
      <c r="F96" s="6"/>
      <c r="G96" s="6"/>
      <c r="H96" s="5"/>
      <c r="I96" s="5"/>
      <c r="J96" s="5"/>
      <c r="K96" s="5"/>
      <c r="L96" s="5"/>
      <c r="M96" s="5"/>
      <c r="N96" s="5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2" t="s">
        <v>120</v>
      </c>
      <c r="BR96" s="4">
        <v>106.8322678</v>
      </c>
      <c r="BS96" s="6"/>
      <c r="BT96" s="6"/>
      <c r="BU96" s="2" t="s">
        <v>121</v>
      </c>
      <c r="BV96" s="4">
        <v>112.7082204</v>
      </c>
      <c r="BW96" s="6"/>
      <c r="BX96" s="6"/>
      <c r="BY96" s="2" t="s">
        <v>121</v>
      </c>
      <c r="BZ96" s="4">
        <v>116.6776311</v>
      </c>
      <c r="CA96" s="6"/>
      <c r="CB96" s="6"/>
    </row>
    <row r="97">
      <c r="A97" s="6"/>
      <c r="B97" s="6"/>
      <c r="C97" s="6"/>
      <c r="D97" s="6"/>
      <c r="E97" s="6"/>
      <c r="F97" s="6"/>
      <c r="G97" s="6"/>
      <c r="H97" s="5"/>
      <c r="I97" s="5"/>
      <c r="J97" s="5"/>
      <c r="K97" s="5"/>
      <c r="L97" s="5"/>
      <c r="M97" s="5"/>
      <c r="N97" s="5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2" t="s">
        <v>120</v>
      </c>
      <c r="BR97" s="4">
        <v>106.1235235</v>
      </c>
      <c r="BS97" s="6"/>
      <c r="BT97" s="6"/>
      <c r="BU97" s="2" t="s">
        <v>121</v>
      </c>
      <c r="BV97" s="4">
        <v>110.9787406</v>
      </c>
      <c r="BW97" s="6"/>
      <c r="BX97" s="6"/>
      <c r="BY97" s="2" t="s">
        <v>127</v>
      </c>
      <c r="BZ97" s="4">
        <v>110.6760226</v>
      </c>
      <c r="CA97" s="6"/>
      <c r="CB97" s="6"/>
    </row>
    <row r="98">
      <c r="A98" s="6"/>
      <c r="B98" s="6"/>
      <c r="C98" s="6"/>
      <c r="D98" s="6"/>
      <c r="E98" s="6"/>
      <c r="F98" s="6"/>
      <c r="G98" s="6"/>
      <c r="H98" s="5"/>
      <c r="I98" s="5"/>
      <c r="J98" s="5"/>
      <c r="K98" s="5"/>
      <c r="L98" s="5"/>
      <c r="M98" s="5"/>
      <c r="N98" s="5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2" t="s">
        <v>127</v>
      </c>
      <c r="BR98" s="4">
        <v>121.2978177</v>
      </c>
      <c r="BS98" s="6"/>
      <c r="BT98" s="6"/>
      <c r="BU98" s="2" t="s">
        <v>120</v>
      </c>
      <c r="BV98" s="4">
        <v>107.411246</v>
      </c>
      <c r="BW98" s="6"/>
      <c r="BX98" s="6"/>
      <c r="BY98" s="2" t="s">
        <v>130</v>
      </c>
      <c r="BZ98" s="4">
        <v>106.451382</v>
      </c>
      <c r="CA98" s="6"/>
      <c r="CB98" s="6"/>
    </row>
    <row r="99">
      <c r="A99" s="6"/>
      <c r="B99" s="6"/>
      <c r="C99" s="6"/>
      <c r="D99" s="6"/>
      <c r="E99" s="6"/>
      <c r="F99" s="6"/>
      <c r="G99" s="6"/>
      <c r="H99" s="5"/>
      <c r="I99" s="5"/>
      <c r="J99" s="5"/>
      <c r="K99" s="5"/>
      <c r="L99" s="5"/>
      <c r="M99" s="5"/>
      <c r="N99" s="5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2" t="s">
        <v>127</v>
      </c>
      <c r="BR99" s="4">
        <v>122.4166692</v>
      </c>
      <c r="BS99" s="6"/>
      <c r="BT99" s="6"/>
      <c r="BU99" s="2" t="s">
        <v>120</v>
      </c>
      <c r="BV99" s="4">
        <v>106.8649941</v>
      </c>
      <c r="BW99" s="6"/>
      <c r="BX99" s="6"/>
      <c r="BY99" s="2" t="s">
        <v>130</v>
      </c>
      <c r="BZ99" s="4">
        <v>109.2296225</v>
      </c>
      <c r="CA99" s="6"/>
      <c r="CB99" s="6"/>
    </row>
    <row r="100">
      <c r="A100" s="6"/>
      <c r="B100" s="6"/>
      <c r="C100" s="6"/>
      <c r="D100" s="6"/>
      <c r="E100" s="6"/>
      <c r="F100" s="6"/>
      <c r="G100" s="6"/>
      <c r="H100" s="5"/>
      <c r="I100" s="5"/>
      <c r="J100" s="5"/>
      <c r="K100" s="5"/>
      <c r="L100" s="5"/>
      <c r="M100" s="5"/>
      <c r="N100" s="5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2" t="s">
        <v>122</v>
      </c>
      <c r="BR100" s="4">
        <v>116.2855121</v>
      </c>
      <c r="BS100" s="6"/>
      <c r="BT100" s="6"/>
      <c r="BU100" s="2" t="s">
        <v>120</v>
      </c>
      <c r="BV100" s="4">
        <v>105.7721119</v>
      </c>
      <c r="BW100" s="6"/>
      <c r="BX100" s="6"/>
      <c r="BY100" s="2" t="s">
        <v>121</v>
      </c>
      <c r="BZ100" s="4">
        <v>110.415141</v>
      </c>
      <c r="CA100" s="6"/>
      <c r="CB100" s="6"/>
    </row>
    <row r="101">
      <c r="A101" s="6"/>
      <c r="B101" s="6"/>
      <c r="C101" s="6"/>
      <c r="D101" s="6"/>
      <c r="E101" s="6"/>
      <c r="F101" s="6"/>
      <c r="G101" s="6"/>
      <c r="H101" s="5"/>
      <c r="I101" s="5"/>
      <c r="J101" s="5"/>
      <c r="K101" s="5"/>
      <c r="L101" s="5"/>
      <c r="M101" s="5"/>
      <c r="N101" s="5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2" t="s">
        <v>122</v>
      </c>
      <c r="BR101" s="4">
        <v>110.1863817</v>
      </c>
      <c r="BS101" s="6"/>
      <c r="BT101" s="6"/>
      <c r="BU101" s="2" t="s">
        <v>122</v>
      </c>
      <c r="BV101" s="4">
        <v>125.3367304</v>
      </c>
      <c r="BW101" s="6"/>
      <c r="BX101" s="6"/>
      <c r="BY101" s="2" t="s">
        <v>121</v>
      </c>
      <c r="BZ101" s="4">
        <v>110.1202762</v>
      </c>
      <c r="CA101" s="6"/>
      <c r="C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2" t="s">
        <v>121</v>
      </c>
      <c r="BR102" s="4">
        <v>109.1634893</v>
      </c>
      <c r="BS102" s="6"/>
      <c r="BT102" s="6"/>
      <c r="BU102" s="2" t="s">
        <v>121</v>
      </c>
      <c r="BV102" s="4">
        <v>117.5344899</v>
      </c>
      <c r="BW102" s="6"/>
      <c r="BX102" s="6"/>
      <c r="BY102" s="2" t="s">
        <v>120</v>
      </c>
      <c r="BZ102" s="4">
        <v>109.8772083</v>
      </c>
      <c r="CA102" s="6"/>
      <c r="C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2" t="s">
        <v>121</v>
      </c>
      <c r="BR103" s="4">
        <v>111.8803175</v>
      </c>
      <c r="BS103" s="6"/>
      <c r="BT103" s="6"/>
      <c r="BU103" s="2" t="s">
        <v>121</v>
      </c>
      <c r="BV103" s="4">
        <v>117.1102869</v>
      </c>
      <c r="BW103" s="6"/>
      <c r="BX103" s="6"/>
      <c r="BY103" s="2" t="s">
        <v>122</v>
      </c>
      <c r="BZ103" s="4">
        <v>120.5487092</v>
      </c>
      <c r="CA103" s="6"/>
      <c r="C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2" t="s">
        <v>121</v>
      </c>
      <c r="BR104" s="4">
        <v>108.5316355</v>
      </c>
      <c r="BS104" s="6"/>
      <c r="BT104" s="6"/>
      <c r="BU104" s="2" t="s">
        <v>122</v>
      </c>
      <c r="BV104" s="4">
        <v>121.4289261</v>
      </c>
      <c r="BW104" s="6"/>
      <c r="BX104" s="6"/>
      <c r="BY104" s="2" t="s">
        <v>121</v>
      </c>
      <c r="BZ104" s="4">
        <v>121.3378701</v>
      </c>
      <c r="CA104" s="6"/>
      <c r="C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2" t="s">
        <v>121</v>
      </c>
      <c r="BR105" s="4">
        <v>108.8249277</v>
      </c>
      <c r="BS105" s="6"/>
      <c r="BT105" s="6"/>
      <c r="BU105" s="2" t="s">
        <v>121</v>
      </c>
      <c r="BV105" s="4">
        <v>121.7944091</v>
      </c>
      <c r="BW105" s="6"/>
      <c r="BX105" s="6"/>
      <c r="BY105" s="2" t="s">
        <v>121</v>
      </c>
      <c r="BZ105" s="4">
        <v>118.1104834</v>
      </c>
      <c r="CA105" s="6"/>
      <c r="C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2" t="s">
        <v>120</v>
      </c>
      <c r="BR106" s="4">
        <v>108.1751667</v>
      </c>
      <c r="BS106" s="6"/>
      <c r="BT106" s="6"/>
      <c r="BU106" s="2" t="s">
        <v>121</v>
      </c>
      <c r="BV106" s="4">
        <v>116.7703907</v>
      </c>
      <c r="BW106" s="6"/>
      <c r="BX106" s="6"/>
      <c r="BY106" s="2" t="s">
        <v>127</v>
      </c>
      <c r="BZ106" s="4">
        <v>121.1623701</v>
      </c>
      <c r="CA106" s="6"/>
      <c r="C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2" t="s">
        <v>122</v>
      </c>
      <c r="BR107" s="4">
        <v>121.2499927</v>
      </c>
      <c r="BS107" s="6"/>
      <c r="BT107" s="6"/>
      <c r="BU107" s="2" t="s">
        <v>127</v>
      </c>
      <c r="BV107" s="4">
        <v>110.6771885</v>
      </c>
      <c r="BW107" s="6"/>
      <c r="BX107" s="6"/>
      <c r="BY107" s="2" t="s">
        <v>127</v>
      </c>
      <c r="BZ107" s="4">
        <v>121.1469222</v>
      </c>
      <c r="CA107" s="6"/>
      <c r="C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2" t="s">
        <v>121</v>
      </c>
      <c r="BR108" s="4">
        <v>121.9378845</v>
      </c>
      <c r="BS108" s="6"/>
      <c r="BT108" s="6"/>
      <c r="BU108" s="2" t="s">
        <v>130</v>
      </c>
      <c r="BV108" s="4">
        <v>107.6545117</v>
      </c>
      <c r="BW108" s="6"/>
      <c r="BX108" s="6"/>
      <c r="BY108" s="2" t="s">
        <v>122</v>
      </c>
      <c r="BZ108" s="4">
        <v>117.6876593</v>
      </c>
      <c r="CA108" s="6"/>
      <c r="C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2" t="s">
        <v>121</v>
      </c>
      <c r="BR109" s="4">
        <v>116.702563</v>
      </c>
      <c r="BS109" s="6"/>
      <c r="BT109" s="6"/>
      <c r="BU109" s="2" t="s">
        <v>130</v>
      </c>
      <c r="BV109" s="4">
        <v>106.7017846</v>
      </c>
      <c r="BW109" s="6"/>
      <c r="BX109" s="6"/>
      <c r="BY109" s="6"/>
      <c r="BZ109" s="6"/>
      <c r="CA109" s="6"/>
      <c r="C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2" t="s">
        <v>127</v>
      </c>
      <c r="BR110" s="4">
        <v>121.8938507</v>
      </c>
      <c r="BS110" s="6"/>
      <c r="BT110" s="6"/>
      <c r="BU110" s="2" t="s">
        <v>121</v>
      </c>
      <c r="BV110" s="4">
        <v>108.6078742</v>
      </c>
      <c r="BW110" s="6"/>
      <c r="BX110" s="6"/>
      <c r="BY110" s="6"/>
      <c r="BZ110" s="6"/>
      <c r="CA110" s="6"/>
      <c r="C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2" t="s">
        <v>127</v>
      </c>
      <c r="BR111" s="4">
        <v>119.9045217</v>
      </c>
      <c r="BS111" s="6"/>
      <c r="BT111" s="6"/>
      <c r="BU111" s="2" t="s">
        <v>121</v>
      </c>
      <c r="BV111" s="4">
        <v>114.2076646</v>
      </c>
      <c r="BW111" s="6"/>
      <c r="BX111" s="6"/>
      <c r="BY111" s="6"/>
      <c r="BZ111" s="6"/>
      <c r="CA111" s="6"/>
      <c r="C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2" t="s">
        <v>122</v>
      </c>
      <c r="BR112" s="4">
        <v>118.0807368</v>
      </c>
      <c r="BS112" s="6"/>
      <c r="BT112" s="6"/>
      <c r="BU112" s="2" t="s">
        <v>120</v>
      </c>
      <c r="BV112" s="4">
        <v>108.7848342</v>
      </c>
      <c r="BW112" s="6"/>
      <c r="BX112" s="6"/>
      <c r="BY112" s="6"/>
      <c r="BZ112" s="6"/>
      <c r="CA112" s="6"/>
      <c r="C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2" t="s">
        <v>127</v>
      </c>
      <c r="BR113" s="4">
        <v>110.6742745</v>
      </c>
      <c r="BS113" s="6"/>
      <c r="BT113" s="6"/>
      <c r="BU113" s="2" t="s">
        <v>122</v>
      </c>
      <c r="BV113" s="4">
        <v>120.4906154</v>
      </c>
      <c r="BW113" s="6"/>
      <c r="BX113" s="6"/>
      <c r="BY113" s="6"/>
      <c r="BZ113" s="6"/>
      <c r="CA113" s="6"/>
      <c r="C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2" t="s">
        <v>130</v>
      </c>
      <c r="BR114" s="4">
        <v>106.6615549</v>
      </c>
      <c r="BS114" s="6"/>
      <c r="BT114" s="6"/>
      <c r="BU114" s="2" t="s">
        <v>121</v>
      </c>
      <c r="BV114" s="4">
        <v>121.3625028</v>
      </c>
      <c r="BW114" s="6"/>
      <c r="BX114" s="6"/>
      <c r="BY114" s="6"/>
      <c r="BZ114" s="6"/>
      <c r="CA114" s="6"/>
      <c r="C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2" t="s">
        <v>130</v>
      </c>
      <c r="BR115" s="4">
        <v>109.3291906</v>
      </c>
      <c r="BS115" s="6"/>
      <c r="BT115" s="6"/>
      <c r="BU115" s="2" t="s">
        <v>121</v>
      </c>
      <c r="BV115" s="4">
        <v>118.143672</v>
      </c>
      <c r="BW115" s="6"/>
      <c r="BX115" s="6"/>
      <c r="BY115" s="6"/>
      <c r="BZ115" s="6"/>
      <c r="CA115" s="6"/>
      <c r="C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2" t="s">
        <v>121</v>
      </c>
      <c r="BR116" s="4">
        <v>110.4303036</v>
      </c>
      <c r="BS116" s="6"/>
      <c r="BT116" s="6"/>
      <c r="BU116" s="2" t="s">
        <v>127</v>
      </c>
      <c r="BV116" s="4">
        <v>121.1088188</v>
      </c>
      <c r="BW116" s="6"/>
      <c r="BX116" s="6"/>
      <c r="BY116" s="6"/>
      <c r="BZ116" s="6"/>
      <c r="CA116" s="6"/>
      <c r="C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2" t="s">
        <v>121</v>
      </c>
      <c r="BR117" s="4">
        <v>109.9648445</v>
      </c>
      <c r="BS117" s="6"/>
      <c r="BT117" s="6"/>
      <c r="BU117" s="2" t="s">
        <v>127</v>
      </c>
      <c r="BV117" s="4">
        <v>121.1044745</v>
      </c>
      <c r="BW117" s="6"/>
      <c r="BX117" s="6"/>
      <c r="BY117" s="6"/>
      <c r="BZ117" s="6"/>
      <c r="CA117" s="6"/>
      <c r="C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2" t="s">
        <v>120</v>
      </c>
      <c r="BR118" s="4">
        <v>109.7200389</v>
      </c>
      <c r="BS118" s="6"/>
      <c r="BT118" s="6"/>
      <c r="BU118" s="2" t="s">
        <v>122</v>
      </c>
      <c r="BV118" s="4">
        <v>117.7859735</v>
      </c>
      <c r="BW118" s="6"/>
      <c r="BX118" s="6"/>
      <c r="BY118" s="6"/>
      <c r="BZ118" s="6"/>
      <c r="CA118" s="6"/>
      <c r="CB118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75"/>
  </cols>
  <sheetData>
    <row r="1">
      <c r="A1" s="7" t="s">
        <v>137</v>
      </c>
      <c r="B1" s="7" t="s">
        <v>138</v>
      </c>
      <c r="C1" s="7" t="s">
        <v>139</v>
      </c>
      <c r="D1" s="7" t="s">
        <v>140</v>
      </c>
      <c r="E1" s="7" t="s">
        <v>141</v>
      </c>
      <c r="F1" s="7" t="s">
        <v>142</v>
      </c>
    </row>
    <row r="2">
      <c r="A2" s="7" t="s">
        <v>2</v>
      </c>
      <c r="B2" s="8">
        <v>-40.022</v>
      </c>
      <c r="C2" s="8">
        <v>-40.368</v>
      </c>
      <c r="D2" s="8">
        <v>-40.4037</v>
      </c>
      <c r="E2" s="8">
        <v>-40.4249</v>
      </c>
      <c r="F2" s="8">
        <v>-40.4016</v>
      </c>
    </row>
    <row r="3">
      <c r="A3" s="7" t="s">
        <v>4</v>
      </c>
      <c r="B3" s="8">
        <v>-78.9031</v>
      </c>
      <c r="C3" s="8">
        <v>-79.5649</v>
      </c>
      <c r="D3" s="8">
        <v>-79.6281</v>
      </c>
      <c r="E3" s="8">
        <v>-79.6685</v>
      </c>
      <c r="F3" s="8">
        <v>-79.6312</v>
      </c>
    </row>
    <row r="4">
      <c r="A4" s="7" t="s">
        <v>6</v>
      </c>
      <c r="B4" s="8">
        <v>-117.789</v>
      </c>
      <c r="C4" s="8">
        <v>-118.765</v>
      </c>
      <c r="D4" s="8">
        <v>-118.855</v>
      </c>
      <c r="E4" s="8">
        <v>-118.915</v>
      </c>
      <c r="F4" s="8">
        <v>-118.865</v>
      </c>
    </row>
    <row r="5">
      <c r="A5" s="7" t="s">
        <v>7</v>
      </c>
      <c r="B5" s="8">
        <v>-156.674</v>
      </c>
      <c r="C5" s="8">
        <v>-157.964</v>
      </c>
      <c r="D5" s="8">
        <v>-158.082</v>
      </c>
      <c r="E5" s="8">
        <v>-158.162</v>
      </c>
      <c r="F5" s="8">
        <v>-158.098</v>
      </c>
    </row>
    <row r="6">
      <c r="A6" s="7" t="s">
        <v>8</v>
      </c>
      <c r="B6" s="8">
        <v>-195.56</v>
      </c>
      <c r="C6" s="8">
        <v>-197.164</v>
      </c>
      <c r="D6" s="8">
        <v>-197.308</v>
      </c>
      <c r="E6" s="8">
        <v>-197.409</v>
      </c>
      <c r="F6" s="8">
        <v>-197.331</v>
      </c>
    </row>
    <row r="7">
      <c r="A7" s="7" t="s">
        <v>9</v>
      </c>
      <c r="B7" s="8">
        <v>-234.445</v>
      </c>
      <c r="C7" s="8">
        <v>-236.364</v>
      </c>
      <c r="D7" s="8">
        <v>-236.535</v>
      </c>
      <c r="E7" s="8">
        <v>-236.656</v>
      </c>
      <c r="F7" s="8">
        <v>-236.565</v>
      </c>
    </row>
    <row r="8">
      <c r="A8" s="7" t="s">
        <v>10</v>
      </c>
      <c r="B8" s="8">
        <v>-273.33</v>
      </c>
      <c r="C8" s="8">
        <v>-275.564</v>
      </c>
      <c r="D8" s="8">
        <v>-275.762</v>
      </c>
      <c r="E8" s="8">
        <v>-275.903</v>
      </c>
      <c r="F8" s="8">
        <v>-275.798</v>
      </c>
    </row>
    <row r="9">
      <c r="A9" s="7" t="s">
        <v>11</v>
      </c>
      <c r="B9" s="8">
        <v>-312.216</v>
      </c>
      <c r="C9" s="8">
        <v>-314.763</v>
      </c>
      <c r="D9" s="8">
        <v>-314.988</v>
      </c>
      <c r="E9" s="8">
        <v>-315.15</v>
      </c>
      <c r="F9" s="8">
        <v>-315.031</v>
      </c>
    </row>
    <row r="10">
      <c r="A10" s="7" t="s">
        <v>12</v>
      </c>
      <c r="B10" s="8">
        <v>-351.101</v>
      </c>
      <c r="C10" s="8">
        <v>-353.963</v>
      </c>
      <c r="D10" s="8">
        <v>-354.215</v>
      </c>
      <c r="E10" s="8">
        <v>-354.397</v>
      </c>
      <c r="F10" s="8">
        <v>-354.265</v>
      </c>
    </row>
    <row r="11">
      <c r="A11" s="7" t="s">
        <v>13</v>
      </c>
      <c r="B11" s="8">
        <v>-642.801</v>
      </c>
      <c r="C11" s="8">
        <v>-647.328</v>
      </c>
      <c r="D11" s="8">
        <v>-647.709</v>
      </c>
      <c r="E11" s="8">
        <v>-647.882</v>
      </c>
      <c r="F11" s="8">
        <v>-647.794</v>
      </c>
    </row>
    <row r="12">
      <c r="A12" s="7" t="s">
        <v>14</v>
      </c>
      <c r="B12" s="8">
        <v>-567.031</v>
      </c>
      <c r="C12" s="8">
        <v>-571.423</v>
      </c>
      <c r="D12" s="8">
        <v>-571.776</v>
      </c>
      <c r="E12" s="8">
        <v>-571.963</v>
      </c>
      <c r="F12" s="8">
        <v>-571.872</v>
      </c>
    </row>
    <row r="13">
      <c r="A13" s="7" t="s">
        <v>15</v>
      </c>
      <c r="B13" s="8">
        <v>-674.111</v>
      </c>
      <c r="C13" s="8">
        <v>-678.916</v>
      </c>
      <c r="D13" s="8">
        <v>-679.305</v>
      </c>
      <c r="E13" s="8">
        <v>-679.508</v>
      </c>
      <c r="F13" s="8">
        <v>-679.404</v>
      </c>
    </row>
    <row r="14">
      <c r="A14" s="7" t="s">
        <v>16</v>
      </c>
      <c r="B14" s="8">
        <v>-153.533</v>
      </c>
      <c r="C14" s="8">
        <v>-154.64</v>
      </c>
      <c r="D14" s="8">
        <v>-154.744</v>
      </c>
      <c r="E14" s="8">
        <v>-154.795</v>
      </c>
      <c r="F14" s="8">
        <v>-154.754</v>
      </c>
    </row>
    <row r="15">
      <c r="A15" s="7" t="s">
        <v>17</v>
      </c>
      <c r="B15" s="8">
        <v>-208.069</v>
      </c>
      <c r="C15" s="8">
        <v>-209.672</v>
      </c>
      <c r="D15" s="8">
        <v>-209.802</v>
      </c>
      <c r="E15" s="8">
        <v>-209.874</v>
      </c>
      <c r="F15" s="8">
        <v>-209.836</v>
      </c>
    </row>
    <row r="16">
      <c r="A16" s="7" t="s">
        <v>18</v>
      </c>
      <c r="B16" s="8">
        <v>-510.628</v>
      </c>
      <c r="C16" s="8">
        <v>-514.342</v>
      </c>
      <c r="D16" s="8">
        <v>-514.651</v>
      </c>
      <c r="E16" s="8">
        <v>-514.804</v>
      </c>
      <c r="F16" s="8">
        <v>-514.721</v>
      </c>
    </row>
    <row r="17">
      <c r="A17" s="7" t="s">
        <v>19</v>
      </c>
      <c r="B17" s="8">
        <v>-1655.35</v>
      </c>
      <c r="C17" s="8">
        <v>-1663.42</v>
      </c>
      <c r="D17" s="8">
        <v>-1664.13</v>
      </c>
      <c r="E17" s="8">
        <v>-1664.48</v>
      </c>
      <c r="F17" s="8">
        <v>-1664.34</v>
      </c>
    </row>
    <row r="18">
      <c r="A18" s="7" t="s">
        <v>20</v>
      </c>
      <c r="B18" s="8">
        <v>-650.199</v>
      </c>
      <c r="C18" s="8">
        <v>-655.106</v>
      </c>
      <c r="D18" s="8">
        <v>-655.52</v>
      </c>
      <c r="E18" s="8">
        <v>-655.767</v>
      </c>
      <c r="F18" s="8">
        <v>-655.623</v>
      </c>
    </row>
    <row r="19">
      <c r="A19" s="7" t="s">
        <v>21</v>
      </c>
      <c r="B19" s="8">
        <v>-1182.91</v>
      </c>
      <c r="C19" s="8">
        <v>-1191.57</v>
      </c>
      <c r="D19" s="8">
        <v>-1192.29</v>
      </c>
      <c r="E19" s="8">
        <v>-1192.76</v>
      </c>
      <c r="F19" s="8">
        <v>-1192.51</v>
      </c>
    </row>
    <row r="20">
      <c r="A20" s="7" t="s">
        <v>22</v>
      </c>
      <c r="B20" s="8">
        <v>-1319.19</v>
      </c>
      <c r="C20" s="8">
        <v>-1328.67</v>
      </c>
      <c r="D20" s="8">
        <v>-1329.47</v>
      </c>
      <c r="E20" s="8">
        <v>-1329.95</v>
      </c>
      <c r="F20" s="8">
        <v>-1329.7</v>
      </c>
    </row>
    <row r="21">
      <c r="A21" s="7" t="s">
        <v>23</v>
      </c>
      <c r="B21" s="8">
        <v>-1180.59</v>
      </c>
      <c r="C21" s="8">
        <v>-1189.23</v>
      </c>
      <c r="D21" s="8">
        <v>-1189.94</v>
      </c>
      <c r="E21" s="8">
        <v>-1190.38</v>
      </c>
      <c r="F21" s="8">
        <v>-1190.16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137</v>
      </c>
      <c r="B1" s="7" t="s">
        <v>143</v>
      </c>
      <c r="C1" s="7" t="s">
        <v>144</v>
      </c>
      <c r="D1" s="7" t="s">
        <v>145</v>
      </c>
      <c r="E1" s="7" t="s">
        <v>146</v>
      </c>
      <c r="F1" s="7" t="s">
        <v>147</v>
      </c>
      <c r="G1" s="7" t="s">
        <v>148</v>
      </c>
    </row>
    <row r="2">
      <c r="A2" s="7" t="s">
        <v>2</v>
      </c>
      <c r="B2" s="8">
        <v>4.0</v>
      </c>
      <c r="C2" s="8">
        <v>1.0</v>
      </c>
      <c r="D2" s="8">
        <v>0.0</v>
      </c>
      <c r="E2" s="8">
        <v>0.0</v>
      </c>
      <c r="F2" s="8">
        <v>0.0</v>
      </c>
      <c r="G2" s="8">
        <v>0.0</v>
      </c>
    </row>
    <row r="3">
      <c r="A3" s="7" t="s">
        <v>4</v>
      </c>
      <c r="B3" s="8">
        <v>6.0</v>
      </c>
      <c r="C3" s="8">
        <v>2.0</v>
      </c>
      <c r="D3" s="8">
        <v>0.0</v>
      </c>
      <c r="E3" s="8">
        <v>0.0</v>
      </c>
      <c r="F3" s="8">
        <v>0.0</v>
      </c>
      <c r="G3" s="8">
        <v>0.0</v>
      </c>
    </row>
    <row r="4">
      <c r="A4" s="7" t="s">
        <v>6</v>
      </c>
      <c r="B4" s="8">
        <v>8.0</v>
      </c>
      <c r="C4" s="8">
        <v>3.0</v>
      </c>
      <c r="D4" s="8">
        <v>0.0</v>
      </c>
      <c r="E4" s="8">
        <v>0.0</v>
      </c>
      <c r="F4" s="8">
        <v>0.0</v>
      </c>
      <c r="G4" s="8">
        <v>0.0</v>
      </c>
    </row>
    <row r="5">
      <c r="A5" s="7" t="s">
        <v>7</v>
      </c>
      <c r="B5" s="8">
        <v>10.0</v>
      </c>
      <c r="C5" s="8">
        <v>4.0</v>
      </c>
      <c r="D5" s="8">
        <v>0.0</v>
      </c>
      <c r="E5" s="8">
        <v>0.0</v>
      </c>
      <c r="F5" s="8">
        <v>0.0</v>
      </c>
      <c r="G5" s="8">
        <v>0.0</v>
      </c>
    </row>
    <row r="6">
      <c r="A6" s="7" t="s">
        <v>8</v>
      </c>
      <c r="B6" s="8">
        <v>12.0</v>
      </c>
      <c r="C6" s="8">
        <v>5.0</v>
      </c>
      <c r="D6" s="8">
        <v>0.0</v>
      </c>
      <c r="E6" s="8">
        <v>0.0</v>
      </c>
      <c r="F6" s="8">
        <v>0.0</v>
      </c>
      <c r="G6" s="8">
        <v>0.0</v>
      </c>
    </row>
    <row r="7">
      <c r="A7" s="7" t="s">
        <v>9</v>
      </c>
      <c r="B7" s="8">
        <v>14.0</v>
      </c>
      <c r="C7" s="8">
        <v>6.0</v>
      </c>
      <c r="D7" s="8">
        <v>0.0</v>
      </c>
      <c r="E7" s="8">
        <v>0.0</v>
      </c>
      <c r="F7" s="8">
        <v>0.0</v>
      </c>
      <c r="G7" s="8">
        <v>0.0</v>
      </c>
    </row>
    <row r="8">
      <c r="A8" s="7" t="s">
        <v>10</v>
      </c>
      <c r="B8" s="8">
        <v>16.0</v>
      </c>
      <c r="C8" s="8">
        <v>7.0</v>
      </c>
      <c r="D8" s="8">
        <v>0.0</v>
      </c>
      <c r="E8" s="8">
        <v>0.0</v>
      </c>
      <c r="F8" s="8">
        <v>0.0</v>
      </c>
      <c r="G8" s="8">
        <v>0.0</v>
      </c>
    </row>
    <row r="9">
      <c r="A9" s="7" t="s">
        <v>11</v>
      </c>
      <c r="B9" s="8">
        <v>18.0</v>
      </c>
      <c r="C9" s="8">
        <v>8.0</v>
      </c>
      <c r="D9" s="8">
        <v>0.0</v>
      </c>
      <c r="E9" s="8">
        <v>0.0</v>
      </c>
      <c r="F9" s="8">
        <v>0.0</v>
      </c>
      <c r="G9" s="8">
        <v>0.0</v>
      </c>
    </row>
    <row r="10">
      <c r="A10" s="7" t="s">
        <v>12</v>
      </c>
      <c r="B10" s="8">
        <v>20.0</v>
      </c>
      <c r="C10" s="8">
        <v>9.0</v>
      </c>
      <c r="D10" s="8">
        <v>0.0</v>
      </c>
      <c r="E10" s="8">
        <v>0.0</v>
      </c>
      <c r="F10" s="8">
        <v>0.0</v>
      </c>
      <c r="G10" s="8">
        <v>0.0</v>
      </c>
    </row>
    <row r="11">
      <c r="A11" s="7" t="s">
        <v>13</v>
      </c>
      <c r="B11" s="8">
        <v>8.0</v>
      </c>
      <c r="C11" s="8">
        <v>9.0</v>
      </c>
      <c r="D11" s="8">
        <v>0.0</v>
      </c>
      <c r="E11" s="8">
        <v>4.0</v>
      </c>
      <c r="F11" s="8">
        <v>0.0</v>
      </c>
      <c r="G11" s="8">
        <v>0.0</v>
      </c>
    </row>
    <row r="12">
      <c r="A12" s="7" t="s">
        <v>14</v>
      </c>
      <c r="B12" s="8">
        <v>10.0</v>
      </c>
      <c r="C12" s="8">
        <v>12.0</v>
      </c>
      <c r="D12" s="8">
        <v>2.0</v>
      </c>
      <c r="E12" s="8">
        <v>0.0</v>
      </c>
      <c r="F12" s="8">
        <v>0.0</v>
      </c>
      <c r="G12" s="8">
        <v>0.0</v>
      </c>
    </row>
    <row r="13">
      <c r="A13" s="7" t="s">
        <v>15</v>
      </c>
      <c r="B13" s="8">
        <v>10.0</v>
      </c>
      <c r="C13" s="8">
        <v>8.0</v>
      </c>
      <c r="D13" s="8">
        <v>4.0</v>
      </c>
      <c r="E13" s="8">
        <v>2.0</v>
      </c>
      <c r="F13" s="8">
        <v>0.0</v>
      </c>
      <c r="G13" s="8">
        <v>0.0</v>
      </c>
    </row>
    <row r="14">
      <c r="A14" s="7" t="s">
        <v>16</v>
      </c>
      <c r="B14" s="8">
        <v>6.0</v>
      </c>
      <c r="C14" s="8">
        <v>2.0</v>
      </c>
      <c r="D14" s="8">
        <v>0.0</v>
      </c>
      <c r="E14" s="8">
        <v>1.0</v>
      </c>
      <c r="F14" s="8">
        <v>0.0</v>
      </c>
      <c r="G14" s="8">
        <v>0.0</v>
      </c>
    </row>
    <row r="15">
      <c r="A15" s="7" t="s">
        <v>17</v>
      </c>
      <c r="B15" s="8">
        <v>5.0</v>
      </c>
      <c r="C15" s="8">
        <v>4.0</v>
      </c>
      <c r="D15" s="8">
        <v>1.0</v>
      </c>
      <c r="E15" s="8">
        <v>0.0</v>
      </c>
      <c r="F15" s="8">
        <v>0.0</v>
      </c>
      <c r="G15" s="8">
        <v>0.0</v>
      </c>
    </row>
    <row r="16">
      <c r="A16" s="7" t="s">
        <v>18</v>
      </c>
      <c r="B16" s="8">
        <v>9.0</v>
      </c>
      <c r="C16" s="8">
        <v>8.0</v>
      </c>
      <c r="D16" s="8">
        <v>1.0</v>
      </c>
      <c r="E16" s="8">
        <v>2.0</v>
      </c>
      <c r="F16" s="8">
        <v>0.0</v>
      </c>
      <c r="G16" s="8">
        <v>0.0</v>
      </c>
    </row>
    <row r="17">
      <c r="A17" s="7" t="s">
        <v>19</v>
      </c>
      <c r="B17" s="8">
        <v>11.0</v>
      </c>
      <c r="C17" s="8">
        <v>14.0</v>
      </c>
      <c r="D17" s="8">
        <v>1.0</v>
      </c>
      <c r="E17" s="8">
        <v>2.0</v>
      </c>
      <c r="F17" s="8">
        <v>0.0</v>
      </c>
      <c r="G17" s="8">
        <v>2.0</v>
      </c>
    </row>
    <row r="18">
      <c r="A18" s="7" t="s">
        <v>20</v>
      </c>
      <c r="B18" s="8">
        <v>18.0</v>
      </c>
      <c r="C18" s="8">
        <v>13.0</v>
      </c>
      <c r="D18" s="8">
        <v>0.0</v>
      </c>
      <c r="E18" s="8">
        <v>2.0</v>
      </c>
      <c r="F18" s="8">
        <v>0.0</v>
      </c>
      <c r="G18" s="8">
        <v>0.0</v>
      </c>
    </row>
    <row r="19">
      <c r="A19" s="7" t="s">
        <v>21</v>
      </c>
      <c r="B19" s="8">
        <v>30.0</v>
      </c>
      <c r="C19" s="8">
        <v>21.0</v>
      </c>
      <c r="D19" s="8">
        <v>0.0</v>
      </c>
      <c r="E19" s="8">
        <v>5.0</v>
      </c>
      <c r="F19" s="8">
        <v>0.0</v>
      </c>
      <c r="G19" s="8">
        <v>0.0</v>
      </c>
    </row>
    <row r="20">
      <c r="A20" s="7" t="s">
        <v>22</v>
      </c>
      <c r="B20" s="8">
        <v>29.0</v>
      </c>
      <c r="C20" s="8">
        <v>22.0</v>
      </c>
      <c r="D20" s="8">
        <v>0.0</v>
      </c>
      <c r="E20" s="8">
        <v>5.0</v>
      </c>
      <c r="F20" s="8">
        <v>1.0</v>
      </c>
      <c r="G20" s="8">
        <v>0.0</v>
      </c>
    </row>
    <row r="21">
      <c r="A21" s="7" t="s">
        <v>23</v>
      </c>
      <c r="B21" s="8">
        <v>26.0</v>
      </c>
      <c r="C21" s="8">
        <v>21.0</v>
      </c>
      <c r="D21" s="8">
        <v>0.0</v>
      </c>
      <c r="E21" s="8">
        <v>5.0</v>
      </c>
      <c r="F21" s="8">
        <v>0.0</v>
      </c>
      <c r="G21" s="8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63"/>
    <col customWidth="1" min="3" max="3" width="26.88"/>
  </cols>
  <sheetData>
    <row r="1">
      <c r="A1" s="7" t="s">
        <v>149</v>
      </c>
      <c r="B1" s="1" t="s">
        <v>150</v>
      </c>
      <c r="C1" s="1" t="s">
        <v>151</v>
      </c>
      <c r="D1" s="1" t="s">
        <v>152</v>
      </c>
    </row>
    <row r="2">
      <c r="A2" s="7" t="s">
        <v>153</v>
      </c>
      <c r="B2" s="9">
        <f t="shared" ref="B2:B7" si="1">C2/2625.5</f>
        <v>0.08303142259</v>
      </c>
      <c r="C2" s="10">
        <v>217.999</v>
      </c>
      <c r="D2" s="11" t="s">
        <v>154</v>
      </c>
    </row>
    <row r="3">
      <c r="A3" s="7" t="s">
        <v>155</v>
      </c>
      <c r="B3" s="9">
        <f t="shared" si="1"/>
        <v>0.2729651495</v>
      </c>
      <c r="C3" s="12">
        <v>716.67</v>
      </c>
      <c r="D3" s="13" t="s">
        <v>156</v>
      </c>
    </row>
    <row r="4">
      <c r="A4" s="7" t="s">
        <v>157</v>
      </c>
      <c r="B4" s="9">
        <f t="shared" si="1"/>
        <v>0.1800354218</v>
      </c>
      <c r="C4" s="10">
        <v>472.683</v>
      </c>
      <c r="D4" s="11" t="s">
        <v>158</v>
      </c>
    </row>
    <row r="5">
      <c r="A5" s="7" t="s">
        <v>159</v>
      </c>
      <c r="B5" s="9">
        <f t="shared" si="1"/>
        <v>0.09490497048</v>
      </c>
      <c r="C5" s="12">
        <v>249.173</v>
      </c>
      <c r="D5" s="13" t="s">
        <v>160</v>
      </c>
    </row>
    <row r="6">
      <c r="A6" s="7" t="s">
        <v>161</v>
      </c>
      <c r="B6" s="9">
        <f t="shared" si="1"/>
        <v>0.0302380499</v>
      </c>
      <c r="C6" s="10">
        <v>79.39</v>
      </c>
      <c r="D6" s="13" t="s">
        <v>162</v>
      </c>
    </row>
    <row r="7">
      <c r="A7" s="7" t="s">
        <v>163</v>
      </c>
      <c r="B7" s="9">
        <f t="shared" si="1"/>
        <v>0.04620148543</v>
      </c>
      <c r="C7" s="10">
        <v>121.302</v>
      </c>
      <c r="D7" s="13" t="s">
        <v>164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6.88"/>
  </cols>
  <sheetData>
    <row r="1">
      <c r="A1" s="7" t="s">
        <v>149</v>
      </c>
      <c r="B1" s="7" t="s">
        <v>165</v>
      </c>
      <c r="C1" s="7" t="s">
        <v>166</v>
      </c>
      <c r="D1" s="7" t="s">
        <v>167</v>
      </c>
      <c r="E1" s="7" t="s">
        <v>168</v>
      </c>
      <c r="F1" s="7" t="s">
        <v>169</v>
      </c>
      <c r="G1" s="7" t="s">
        <v>170</v>
      </c>
      <c r="H1" s="7" t="s">
        <v>171</v>
      </c>
      <c r="I1" s="7" t="s">
        <v>138</v>
      </c>
      <c r="J1" s="7" t="s">
        <v>139</v>
      </c>
      <c r="K1" s="7" t="s">
        <v>140</v>
      </c>
      <c r="L1" s="7" t="s">
        <v>172</v>
      </c>
      <c r="M1" s="7" t="s">
        <v>173</v>
      </c>
      <c r="N1" s="7" t="s">
        <v>174</v>
      </c>
      <c r="O1" s="7" t="s">
        <v>175</v>
      </c>
      <c r="P1" s="7" t="s">
        <v>176</v>
      </c>
      <c r="Q1" s="7" t="s">
        <v>177</v>
      </c>
      <c r="R1" s="7" t="s">
        <v>178</v>
      </c>
    </row>
    <row r="2">
      <c r="A2" s="7" t="s">
        <v>153</v>
      </c>
      <c r="B2" s="8">
        <v>-0.47747</v>
      </c>
      <c r="C2" s="8">
        <v>-0.49863</v>
      </c>
      <c r="D2" s="8">
        <v>-0.49786</v>
      </c>
      <c r="E2" s="8">
        <v>-0.50133</v>
      </c>
      <c r="F2" s="8">
        <v>-0.49741</v>
      </c>
      <c r="G2" s="8">
        <v>0.083031</v>
      </c>
      <c r="H2" s="8">
        <v>0.00236</v>
      </c>
      <c r="I2" s="8">
        <v>-0.47511</v>
      </c>
      <c r="J2" s="8">
        <v>-0.49627</v>
      </c>
      <c r="K2" s="8">
        <v>-0.4955</v>
      </c>
      <c r="L2" s="8">
        <v>-0.49897</v>
      </c>
      <c r="M2" s="8">
        <v>-0.49505</v>
      </c>
      <c r="N2" s="8">
        <v>-0.55814</v>
      </c>
      <c r="O2" s="8">
        <v>-0.5793</v>
      </c>
      <c r="P2" s="8">
        <v>-0.57853</v>
      </c>
      <c r="Q2" s="8">
        <v>-0.582</v>
      </c>
      <c r="R2" s="8">
        <v>-0.57808</v>
      </c>
    </row>
    <row r="3">
      <c r="A3" s="7" t="s">
        <v>155</v>
      </c>
      <c r="B3" s="8">
        <v>-37.4217</v>
      </c>
      <c r="C3" s="8">
        <v>-37.7513</v>
      </c>
      <c r="D3" s="8">
        <v>-37.7927</v>
      </c>
      <c r="E3" s="8">
        <v>-37.8008</v>
      </c>
      <c r="F3" s="8">
        <v>-37.7962</v>
      </c>
      <c r="G3" s="8">
        <v>0.272965</v>
      </c>
      <c r="H3" s="8">
        <v>0.00236</v>
      </c>
      <c r="I3" s="8">
        <v>-37.4193</v>
      </c>
      <c r="J3" s="8">
        <v>-37.7489</v>
      </c>
      <c r="K3" s="8">
        <v>-37.7904</v>
      </c>
      <c r="L3" s="8">
        <v>-37.7984</v>
      </c>
      <c r="M3" s="8">
        <v>-37.7939</v>
      </c>
      <c r="N3" s="8">
        <v>-37.6923</v>
      </c>
      <c r="O3" s="8">
        <v>-38.0219</v>
      </c>
      <c r="P3" s="8">
        <v>-38.0633</v>
      </c>
      <c r="Q3" s="8">
        <v>-38.0714</v>
      </c>
      <c r="R3" s="8">
        <v>-38.0669</v>
      </c>
    </row>
    <row r="4">
      <c r="A4" s="7" t="s">
        <v>157</v>
      </c>
      <c r="B4" s="8">
        <v>-54.0662</v>
      </c>
      <c r="C4" s="8">
        <v>-54.4666</v>
      </c>
      <c r="D4" s="8">
        <v>-54.5128</v>
      </c>
      <c r="E4" s="8">
        <v>-54.5252</v>
      </c>
      <c r="F4" s="8">
        <v>-54.5215</v>
      </c>
      <c r="G4" s="8">
        <v>0.180035</v>
      </c>
      <c r="H4" s="8">
        <v>0.00236</v>
      </c>
      <c r="I4" s="8">
        <v>-54.0638</v>
      </c>
      <c r="J4" s="8">
        <v>-54.4642</v>
      </c>
      <c r="K4" s="8">
        <v>-54.5104</v>
      </c>
      <c r="L4" s="8">
        <v>-54.5228</v>
      </c>
      <c r="M4" s="8">
        <v>-54.5191</v>
      </c>
      <c r="N4" s="8">
        <v>-54.2438</v>
      </c>
      <c r="O4" s="8">
        <v>-54.6443</v>
      </c>
      <c r="P4" s="8">
        <v>-54.6905</v>
      </c>
      <c r="Q4" s="8">
        <v>-54.7028</v>
      </c>
      <c r="R4" s="8">
        <v>-54.6992</v>
      </c>
    </row>
    <row r="5">
      <c r="A5" s="7" t="s">
        <v>159</v>
      </c>
      <c r="B5" s="8">
        <v>-74.4292</v>
      </c>
      <c r="C5" s="8">
        <v>-74.9147</v>
      </c>
      <c r="D5" s="8">
        <v>-74.9713</v>
      </c>
      <c r="E5" s="8">
        <v>-74.9795</v>
      </c>
      <c r="F5" s="8">
        <v>-74.9726</v>
      </c>
      <c r="G5" s="8">
        <v>0.094905</v>
      </c>
      <c r="H5" s="8">
        <v>0.00236</v>
      </c>
      <c r="I5" s="8">
        <v>-74.4269</v>
      </c>
      <c r="J5" s="8">
        <v>-74.9124</v>
      </c>
      <c r="K5" s="8">
        <v>-74.969</v>
      </c>
      <c r="L5" s="8">
        <v>-74.9772</v>
      </c>
      <c r="M5" s="8">
        <v>-74.9702</v>
      </c>
      <c r="N5" s="8">
        <v>-74.5218</v>
      </c>
      <c r="O5" s="8">
        <v>-75.0073</v>
      </c>
      <c r="P5" s="8">
        <v>-75.0639</v>
      </c>
      <c r="Q5" s="8">
        <v>-75.0721</v>
      </c>
      <c r="R5" s="8">
        <v>-75.0651</v>
      </c>
    </row>
    <row r="6">
      <c r="A6" s="7" t="s">
        <v>161</v>
      </c>
      <c r="B6" s="8">
        <v>-98.9769</v>
      </c>
      <c r="C6" s="8">
        <v>-99.5398</v>
      </c>
      <c r="D6" s="8">
        <v>-99.6066</v>
      </c>
      <c r="E6" s="8">
        <v>-99.6163</v>
      </c>
      <c r="F6" s="8">
        <v>-99.6083</v>
      </c>
      <c r="G6" s="8">
        <v>0.030238</v>
      </c>
      <c r="H6" s="8">
        <v>0.00236</v>
      </c>
      <c r="I6" s="8">
        <v>-98.9746</v>
      </c>
      <c r="J6" s="8">
        <v>-99.5375</v>
      </c>
      <c r="K6" s="8">
        <v>-99.6042</v>
      </c>
      <c r="L6" s="8">
        <v>-99.6139</v>
      </c>
      <c r="M6" s="8">
        <v>-99.6059</v>
      </c>
      <c r="N6" s="8">
        <v>-99.0048</v>
      </c>
      <c r="O6" s="8">
        <v>-99.5677</v>
      </c>
      <c r="P6" s="8">
        <v>-99.6345</v>
      </c>
      <c r="Q6" s="8">
        <v>-99.6441</v>
      </c>
      <c r="R6" s="8">
        <v>-99.6361</v>
      </c>
    </row>
    <row r="7">
      <c r="A7" s="7" t="s">
        <v>163</v>
      </c>
      <c r="B7" s="8">
        <v>-458.487</v>
      </c>
      <c r="C7" s="8">
        <v>-459.797</v>
      </c>
      <c r="D7" s="8">
        <v>-459.941</v>
      </c>
      <c r="E7" s="8">
        <v>-459.99</v>
      </c>
      <c r="F7" s="8">
        <v>-459.976</v>
      </c>
      <c r="G7" s="8">
        <v>0.046201</v>
      </c>
      <c r="H7" s="8">
        <v>0.00236</v>
      </c>
      <c r="I7" s="8">
        <v>-458.484</v>
      </c>
      <c r="J7" s="8">
        <v>-459.795</v>
      </c>
      <c r="K7" s="8">
        <v>-459.938</v>
      </c>
      <c r="L7" s="8">
        <v>-459.988</v>
      </c>
      <c r="M7" s="8">
        <v>-459.974</v>
      </c>
      <c r="N7" s="8">
        <v>-458.53</v>
      </c>
      <c r="O7" s="8">
        <v>-459.841</v>
      </c>
      <c r="P7" s="8">
        <v>-459.985</v>
      </c>
      <c r="Q7" s="8">
        <v>-460.034</v>
      </c>
      <c r="R7" s="8">
        <v>-460.02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137</v>
      </c>
      <c r="B1" s="7" t="s">
        <v>138</v>
      </c>
      <c r="C1" s="7" t="s">
        <v>139</v>
      </c>
      <c r="D1" s="7" t="s">
        <v>140</v>
      </c>
      <c r="E1" s="7" t="s">
        <v>141</v>
      </c>
      <c r="F1" s="7" t="s">
        <v>142</v>
      </c>
      <c r="G1" s="7" t="s">
        <v>143</v>
      </c>
      <c r="H1" s="7" t="s">
        <v>179</v>
      </c>
      <c r="I1" s="7" t="s">
        <v>180</v>
      </c>
      <c r="J1" s="7" t="s">
        <v>181</v>
      </c>
      <c r="K1" s="7" t="s">
        <v>182</v>
      </c>
      <c r="L1" s="7" t="s">
        <v>183</v>
      </c>
      <c r="M1" s="7" t="s">
        <v>184</v>
      </c>
      <c r="N1" s="7" t="s">
        <v>144</v>
      </c>
      <c r="O1" s="7" t="s">
        <v>185</v>
      </c>
      <c r="P1" s="7" t="s">
        <v>186</v>
      </c>
      <c r="Q1" s="7" t="s">
        <v>187</v>
      </c>
      <c r="R1" s="7" t="s">
        <v>188</v>
      </c>
      <c r="S1" s="7" t="s">
        <v>189</v>
      </c>
      <c r="T1" s="7" t="s">
        <v>190</v>
      </c>
      <c r="U1" s="7" t="s">
        <v>145</v>
      </c>
      <c r="V1" s="7" t="s">
        <v>191</v>
      </c>
      <c r="W1" s="7" t="s">
        <v>192</v>
      </c>
      <c r="X1" s="7" t="s">
        <v>193</v>
      </c>
      <c r="Y1" s="7" t="s">
        <v>194</v>
      </c>
      <c r="Z1" s="7" t="s">
        <v>195</v>
      </c>
      <c r="AA1" s="7" t="s">
        <v>196</v>
      </c>
      <c r="AB1" s="7" t="s">
        <v>146</v>
      </c>
      <c r="AC1" s="7" t="s">
        <v>197</v>
      </c>
      <c r="AD1" s="7" t="s">
        <v>198</v>
      </c>
      <c r="AE1" s="7" t="s">
        <v>199</v>
      </c>
      <c r="AF1" s="7" t="s">
        <v>200</v>
      </c>
      <c r="AG1" s="7" t="s">
        <v>201</v>
      </c>
      <c r="AH1" s="7" t="s">
        <v>202</v>
      </c>
      <c r="AI1" s="7" t="s">
        <v>147</v>
      </c>
      <c r="AJ1" s="7" t="s">
        <v>203</v>
      </c>
      <c r="AK1" s="7" t="s">
        <v>204</v>
      </c>
      <c r="AL1" s="7" t="s">
        <v>205</v>
      </c>
      <c r="AM1" s="7" t="s">
        <v>206</v>
      </c>
      <c r="AN1" s="7" t="s">
        <v>207</v>
      </c>
      <c r="AO1" s="7" t="s">
        <v>208</v>
      </c>
      <c r="AP1" s="7" t="s">
        <v>148</v>
      </c>
      <c r="AQ1" s="7" t="s">
        <v>209</v>
      </c>
      <c r="AR1" s="7" t="s">
        <v>210</v>
      </c>
      <c r="AS1" s="7" t="s">
        <v>211</v>
      </c>
      <c r="AT1" s="7" t="s">
        <v>212</v>
      </c>
      <c r="AU1" s="7" t="s">
        <v>213</v>
      </c>
      <c r="AV1" s="7" t="s">
        <v>214</v>
      </c>
      <c r="AW1" s="7" t="s">
        <v>215</v>
      </c>
      <c r="AX1" s="7" t="s">
        <v>216</v>
      </c>
      <c r="AY1" s="7" t="s">
        <v>217</v>
      </c>
      <c r="AZ1" s="7" t="s">
        <v>218</v>
      </c>
      <c r="BA1" s="7" t="s">
        <v>219</v>
      </c>
    </row>
    <row r="2">
      <c r="A2" s="7" t="s">
        <v>2</v>
      </c>
      <c r="B2" s="8">
        <v>-40.022</v>
      </c>
      <c r="C2" s="8">
        <v>-40.368</v>
      </c>
      <c r="D2" s="8">
        <v>-40.4037</v>
      </c>
      <c r="E2" s="8">
        <v>-40.4249</v>
      </c>
      <c r="F2" s="8">
        <v>-40.4016</v>
      </c>
      <c r="G2" s="8">
        <v>4.0</v>
      </c>
      <c r="H2" s="8">
        <v>0.332126</v>
      </c>
      <c r="I2" s="8">
        <v>-2.23256</v>
      </c>
      <c r="J2" s="8">
        <v>-2.31721</v>
      </c>
      <c r="K2" s="8">
        <v>-2.31412</v>
      </c>
      <c r="L2" s="8">
        <v>-2.32801</v>
      </c>
      <c r="M2" s="8">
        <v>-2.31233</v>
      </c>
      <c r="N2" s="8">
        <v>1.0</v>
      </c>
      <c r="O2" s="8">
        <v>0.272965</v>
      </c>
      <c r="P2" s="8">
        <v>-37.6923</v>
      </c>
      <c r="Q2" s="8">
        <v>-38.0219</v>
      </c>
      <c r="R2" s="8">
        <v>-38.0633</v>
      </c>
      <c r="S2" s="8">
        <v>-38.0714</v>
      </c>
      <c r="T2" s="8">
        <v>-38.0669</v>
      </c>
      <c r="U2" s="8">
        <v>0.0</v>
      </c>
      <c r="V2" s="8">
        <v>0.0</v>
      </c>
      <c r="W2" s="8">
        <v>0.0</v>
      </c>
      <c r="X2" s="8">
        <v>0.0</v>
      </c>
      <c r="Y2" s="8">
        <v>0.0</v>
      </c>
      <c r="Z2" s="8">
        <v>0.0</v>
      </c>
      <c r="AA2" s="8">
        <v>0.0</v>
      </c>
      <c r="AB2" s="8">
        <v>0.0</v>
      </c>
      <c r="AC2" s="8">
        <v>0.0</v>
      </c>
      <c r="AD2" s="8">
        <v>0.0</v>
      </c>
      <c r="AE2" s="8">
        <v>0.0</v>
      </c>
      <c r="AF2" s="8">
        <v>0.0</v>
      </c>
      <c r="AG2" s="8">
        <v>0.0</v>
      </c>
      <c r="AH2" s="8">
        <v>0.0</v>
      </c>
      <c r="AI2" s="8">
        <v>0.0</v>
      </c>
      <c r="AJ2" s="8">
        <v>0.0</v>
      </c>
      <c r="AK2" s="8">
        <v>0.0</v>
      </c>
      <c r="AL2" s="8">
        <v>0.0</v>
      </c>
      <c r="AM2" s="8">
        <v>0.0</v>
      </c>
      <c r="AN2" s="8">
        <v>0.0</v>
      </c>
      <c r="AO2" s="8">
        <v>0.0</v>
      </c>
      <c r="AP2" s="8">
        <v>0.0</v>
      </c>
      <c r="AQ2" s="8">
        <v>0.0</v>
      </c>
      <c r="AR2" s="8">
        <v>0.0</v>
      </c>
      <c r="AS2" s="8">
        <v>0.0</v>
      </c>
      <c r="AT2" s="8">
        <v>0.0</v>
      </c>
      <c r="AU2" s="8">
        <v>0.0</v>
      </c>
      <c r="AV2" s="8">
        <v>0.0</v>
      </c>
      <c r="AW2" s="8">
        <v>-0.09723</v>
      </c>
      <c r="AX2" s="8">
        <v>-0.0289</v>
      </c>
      <c r="AY2" s="8">
        <v>-0.02628</v>
      </c>
      <c r="AZ2" s="8">
        <v>-0.02549</v>
      </c>
      <c r="BA2" s="8">
        <v>-0.02239</v>
      </c>
    </row>
    <row r="3">
      <c r="A3" s="7" t="s">
        <v>4</v>
      </c>
      <c r="B3" s="8">
        <v>-78.9031</v>
      </c>
      <c r="C3" s="8">
        <v>-79.5649</v>
      </c>
      <c r="D3" s="8">
        <v>-79.6281</v>
      </c>
      <c r="E3" s="8">
        <v>-79.6685</v>
      </c>
      <c r="F3" s="8">
        <v>-79.6312</v>
      </c>
      <c r="G3" s="8">
        <v>6.0</v>
      </c>
      <c r="H3" s="8">
        <v>0.498189</v>
      </c>
      <c r="I3" s="8">
        <v>-3.34884</v>
      </c>
      <c r="J3" s="8">
        <v>-3.47581</v>
      </c>
      <c r="K3" s="8">
        <v>-3.47119</v>
      </c>
      <c r="L3" s="8">
        <v>-3.49202</v>
      </c>
      <c r="M3" s="8">
        <v>-3.4685</v>
      </c>
      <c r="N3" s="8">
        <v>2.0</v>
      </c>
      <c r="O3" s="8">
        <v>0.54593</v>
      </c>
      <c r="P3" s="8">
        <v>-75.3845</v>
      </c>
      <c r="Q3" s="8">
        <v>-76.0437</v>
      </c>
      <c r="R3" s="8">
        <v>-76.1266</v>
      </c>
      <c r="S3" s="8">
        <v>-76.1428</v>
      </c>
      <c r="T3" s="8">
        <v>-76.1337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0.0</v>
      </c>
      <c r="AA3" s="8">
        <v>0.0</v>
      </c>
      <c r="AB3" s="8">
        <v>0.0</v>
      </c>
      <c r="AC3" s="8">
        <v>0.0</v>
      </c>
      <c r="AD3" s="8">
        <v>0.0</v>
      </c>
      <c r="AE3" s="8">
        <v>0.0</v>
      </c>
      <c r="AF3" s="8">
        <v>0.0</v>
      </c>
      <c r="AG3" s="8">
        <v>0.0</v>
      </c>
      <c r="AH3" s="8">
        <v>0.0</v>
      </c>
      <c r="AI3" s="8">
        <v>0.0</v>
      </c>
      <c r="AJ3" s="8">
        <v>0.0</v>
      </c>
      <c r="AK3" s="8">
        <v>0.0</v>
      </c>
      <c r="AL3" s="8">
        <v>0.0</v>
      </c>
      <c r="AM3" s="8">
        <v>0.0</v>
      </c>
      <c r="AN3" s="8">
        <v>0.0</v>
      </c>
      <c r="AO3" s="8">
        <v>0.0</v>
      </c>
      <c r="AP3" s="8">
        <v>0.0</v>
      </c>
      <c r="AQ3" s="8">
        <v>0.0</v>
      </c>
      <c r="AR3" s="8">
        <v>0.0</v>
      </c>
      <c r="AS3" s="8">
        <v>0.0</v>
      </c>
      <c r="AT3" s="8">
        <v>0.0</v>
      </c>
      <c r="AU3" s="8">
        <v>0.0</v>
      </c>
      <c r="AV3" s="8">
        <v>0.0</v>
      </c>
      <c r="AW3" s="8">
        <v>-0.16973</v>
      </c>
      <c r="AX3" s="8">
        <v>-0.0454</v>
      </c>
      <c r="AY3" s="8">
        <v>-0.03025</v>
      </c>
      <c r="AZ3" s="8">
        <v>-0.03366</v>
      </c>
      <c r="BA3" s="8">
        <v>-0.029</v>
      </c>
    </row>
    <row r="4">
      <c r="A4" s="7" t="s">
        <v>6</v>
      </c>
      <c r="B4" s="8">
        <v>-117.789</v>
      </c>
      <c r="C4" s="8">
        <v>-118.765</v>
      </c>
      <c r="D4" s="8">
        <v>-118.855</v>
      </c>
      <c r="E4" s="8">
        <v>-118.915</v>
      </c>
      <c r="F4" s="8">
        <v>-118.865</v>
      </c>
      <c r="G4" s="8">
        <v>8.0</v>
      </c>
      <c r="H4" s="8">
        <v>0.664251</v>
      </c>
      <c r="I4" s="8">
        <v>-4.46512</v>
      </c>
      <c r="J4" s="8">
        <v>-4.63441</v>
      </c>
      <c r="K4" s="8">
        <v>-4.62825</v>
      </c>
      <c r="L4" s="8">
        <v>-4.65602</v>
      </c>
      <c r="M4" s="8">
        <v>-4.62466</v>
      </c>
      <c r="N4" s="8">
        <v>3.0</v>
      </c>
      <c r="O4" s="8">
        <v>0.818895</v>
      </c>
      <c r="P4" s="8">
        <v>-113.077</v>
      </c>
      <c r="Q4" s="8">
        <v>-114.066</v>
      </c>
      <c r="R4" s="8">
        <v>-114.19</v>
      </c>
      <c r="S4" s="8">
        <v>-114.214</v>
      </c>
      <c r="T4" s="8">
        <v>-114.201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v>0.0</v>
      </c>
      <c r="AC4" s="8">
        <v>0.0</v>
      </c>
      <c r="AD4" s="8">
        <v>0.0</v>
      </c>
      <c r="AE4" s="8">
        <v>0.0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0.0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v>0.0</v>
      </c>
      <c r="AS4" s="8">
        <v>0.0</v>
      </c>
      <c r="AT4" s="8">
        <v>0.0</v>
      </c>
      <c r="AU4" s="8">
        <v>0.0</v>
      </c>
      <c r="AV4" s="8">
        <v>0.0</v>
      </c>
      <c r="AW4" s="8">
        <v>-0.24668</v>
      </c>
      <c r="AX4" s="8">
        <v>-0.06478</v>
      </c>
      <c r="AY4" s="8">
        <v>-0.03673</v>
      </c>
      <c r="AZ4" s="8">
        <v>-0.04512</v>
      </c>
      <c r="BA4" s="8">
        <v>-0.0394</v>
      </c>
    </row>
    <row r="5">
      <c r="A5" s="7" t="s">
        <v>7</v>
      </c>
      <c r="B5" s="8">
        <v>-156.674</v>
      </c>
      <c r="C5" s="8">
        <v>-157.964</v>
      </c>
      <c r="D5" s="8">
        <v>-158.082</v>
      </c>
      <c r="E5" s="8">
        <v>-158.162</v>
      </c>
      <c r="F5" s="8">
        <v>-158.098</v>
      </c>
      <c r="G5" s="8">
        <v>10.0</v>
      </c>
      <c r="H5" s="8">
        <v>0.830314</v>
      </c>
      <c r="I5" s="8">
        <v>-5.5814</v>
      </c>
      <c r="J5" s="8">
        <v>-5.79301</v>
      </c>
      <c r="K5" s="8">
        <v>-5.78531</v>
      </c>
      <c r="L5" s="8">
        <v>-5.82003</v>
      </c>
      <c r="M5" s="8">
        <v>-5.78083</v>
      </c>
      <c r="N5" s="8">
        <v>4.0</v>
      </c>
      <c r="O5" s="8">
        <v>1.091861</v>
      </c>
      <c r="P5" s="8">
        <v>-150.769</v>
      </c>
      <c r="Q5" s="8">
        <v>-152.087</v>
      </c>
      <c r="R5" s="8">
        <v>-152.253</v>
      </c>
      <c r="S5" s="8">
        <v>-152.286</v>
      </c>
      <c r="T5" s="8">
        <v>-152.267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0.0</v>
      </c>
      <c r="AB5" s="8">
        <v>0.0</v>
      </c>
      <c r="AC5" s="8">
        <v>0.0</v>
      </c>
      <c r="AD5" s="8">
        <v>0.0</v>
      </c>
      <c r="AE5" s="8">
        <v>0.0</v>
      </c>
      <c r="AF5" s="8">
        <v>0.0</v>
      </c>
      <c r="AG5" s="8">
        <v>0.0</v>
      </c>
      <c r="AH5" s="8">
        <v>0.0</v>
      </c>
      <c r="AI5" s="8">
        <v>0.0</v>
      </c>
      <c r="AJ5" s="8">
        <v>0.0</v>
      </c>
      <c r="AK5" s="8">
        <v>0.0</v>
      </c>
      <c r="AL5" s="8">
        <v>0.0</v>
      </c>
      <c r="AM5" s="8">
        <v>0.0</v>
      </c>
      <c r="AN5" s="8">
        <v>0.0</v>
      </c>
      <c r="AO5" s="8">
        <v>0.0</v>
      </c>
      <c r="AP5" s="8">
        <v>0.0</v>
      </c>
      <c r="AQ5" s="8">
        <v>0.0</v>
      </c>
      <c r="AR5" s="8">
        <v>0.0</v>
      </c>
      <c r="AS5" s="8">
        <v>0.0</v>
      </c>
      <c r="AT5" s="8">
        <v>0.0</v>
      </c>
      <c r="AU5" s="8">
        <v>0.0</v>
      </c>
      <c r="AV5" s="8">
        <v>0.0</v>
      </c>
      <c r="AW5" s="8">
        <v>-0.32365</v>
      </c>
      <c r="AX5" s="8">
        <v>-0.08405</v>
      </c>
      <c r="AY5" s="8">
        <v>-0.04309</v>
      </c>
      <c r="AZ5" s="8">
        <v>-0.05659</v>
      </c>
      <c r="BA5" s="8">
        <v>-0.04982</v>
      </c>
    </row>
    <row r="6">
      <c r="A6" s="7" t="s">
        <v>8</v>
      </c>
      <c r="B6" s="8">
        <v>-195.56</v>
      </c>
      <c r="C6" s="8">
        <v>-197.164</v>
      </c>
      <c r="D6" s="8">
        <v>-197.308</v>
      </c>
      <c r="E6" s="8">
        <v>-197.409</v>
      </c>
      <c r="F6" s="8">
        <v>-197.331</v>
      </c>
      <c r="G6" s="8">
        <v>12.0</v>
      </c>
      <c r="H6" s="8">
        <v>0.996377</v>
      </c>
      <c r="I6" s="8">
        <v>-6.69768</v>
      </c>
      <c r="J6" s="8">
        <v>-6.95162</v>
      </c>
      <c r="K6" s="8">
        <v>-6.94237</v>
      </c>
      <c r="L6" s="8">
        <v>-6.98403</v>
      </c>
      <c r="M6" s="8">
        <v>-6.937</v>
      </c>
      <c r="N6" s="8">
        <v>5.0</v>
      </c>
      <c r="O6" s="8">
        <v>1.364826</v>
      </c>
      <c r="P6" s="8">
        <v>-188.461</v>
      </c>
      <c r="Q6" s="8">
        <v>-190.109</v>
      </c>
      <c r="R6" s="8">
        <v>-190.317</v>
      </c>
      <c r="S6" s="8">
        <v>-190.357</v>
      </c>
      <c r="T6" s="8">
        <v>-190.334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v>0.0</v>
      </c>
      <c r="AC6" s="8">
        <v>0.0</v>
      </c>
      <c r="AD6" s="8">
        <v>0.0</v>
      </c>
      <c r="AE6" s="8">
        <v>0.0</v>
      </c>
      <c r="AF6" s="8">
        <v>0.0</v>
      </c>
      <c r="AG6" s="8">
        <v>0.0</v>
      </c>
      <c r="AH6" s="8">
        <v>0.0</v>
      </c>
      <c r="AI6" s="8">
        <v>0.0</v>
      </c>
      <c r="AJ6" s="8">
        <v>0.0</v>
      </c>
      <c r="AK6" s="8">
        <v>0.0</v>
      </c>
      <c r="AL6" s="8">
        <v>0.0</v>
      </c>
      <c r="AM6" s="8">
        <v>0.0</v>
      </c>
      <c r="AN6" s="8">
        <v>0.0</v>
      </c>
      <c r="AO6" s="8">
        <v>0.0</v>
      </c>
      <c r="AP6" s="8">
        <v>0.0</v>
      </c>
      <c r="AQ6" s="8">
        <v>0.0</v>
      </c>
      <c r="AR6" s="8">
        <v>0.0</v>
      </c>
      <c r="AS6" s="8">
        <v>0.0</v>
      </c>
      <c r="AT6" s="8">
        <v>0.0</v>
      </c>
      <c r="AU6" s="8">
        <v>0.0</v>
      </c>
      <c r="AV6" s="8">
        <v>0.0</v>
      </c>
      <c r="AW6" s="8">
        <v>-0.40057</v>
      </c>
      <c r="AX6" s="8">
        <v>-0.1033</v>
      </c>
      <c r="AY6" s="8">
        <v>-0.0494</v>
      </c>
      <c r="AZ6" s="8">
        <v>-0.06814</v>
      </c>
      <c r="BA6" s="8">
        <v>-0.06014</v>
      </c>
    </row>
    <row r="7">
      <c r="A7" s="7" t="s">
        <v>9</v>
      </c>
      <c r="B7" s="8">
        <v>-234.445</v>
      </c>
      <c r="C7" s="8">
        <v>-236.364</v>
      </c>
      <c r="D7" s="8">
        <v>-236.535</v>
      </c>
      <c r="E7" s="8">
        <v>-236.656</v>
      </c>
      <c r="F7" s="8">
        <v>-236.565</v>
      </c>
      <c r="G7" s="8">
        <v>14.0</v>
      </c>
      <c r="H7" s="8">
        <v>1.16244</v>
      </c>
      <c r="I7" s="8">
        <v>-7.81396</v>
      </c>
      <c r="J7" s="8">
        <v>-8.11022</v>
      </c>
      <c r="K7" s="8">
        <v>-8.09943</v>
      </c>
      <c r="L7" s="8">
        <v>-8.14804</v>
      </c>
      <c r="M7" s="8">
        <v>-8.09316</v>
      </c>
      <c r="N7" s="8">
        <v>6.0</v>
      </c>
      <c r="O7" s="8">
        <v>1.637791</v>
      </c>
      <c r="P7" s="8">
        <v>-226.154</v>
      </c>
      <c r="Q7" s="8">
        <v>-228.131</v>
      </c>
      <c r="R7" s="8">
        <v>-228.38</v>
      </c>
      <c r="S7" s="8">
        <v>-228.428</v>
      </c>
      <c r="T7" s="8">
        <v>-228.401</v>
      </c>
      <c r="U7" s="8">
        <v>0.0</v>
      </c>
      <c r="V7" s="8">
        <v>0.0</v>
      </c>
      <c r="W7" s="8">
        <v>0.0</v>
      </c>
      <c r="X7" s="8">
        <v>0.0</v>
      </c>
      <c r="Y7" s="8">
        <v>0.0</v>
      </c>
      <c r="Z7" s="8">
        <v>0.0</v>
      </c>
      <c r="AA7" s="8">
        <v>0.0</v>
      </c>
      <c r="AB7" s="8">
        <v>0.0</v>
      </c>
      <c r="AC7" s="8">
        <v>0.0</v>
      </c>
      <c r="AD7" s="8">
        <v>0.0</v>
      </c>
      <c r="AE7" s="8">
        <v>0.0</v>
      </c>
      <c r="AF7" s="8">
        <v>0.0</v>
      </c>
      <c r="AG7" s="8">
        <v>0.0</v>
      </c>
      <c r="AH7" s="8">
        <v>0.0</v>
      </c>
      <c r="AI7" s="8">
        <v>0.0</v>
      </c>
      <c r="AJ7" s="8">
        <v>0.0</v>
      </c>
      <c r="AK7" s="8">
        <v>0.0</v>
      </c>
      <c r="AL7" s="8">
        <v>0.0</v>
      </c>
      <c r="AM7" s="8">
        <v>0.0</v>
      </c>
      <c r="AN7" s="8">
        <v>0.0</v>
      </c>
      <c r="AO7" s="8">
        <v>0.0</v>
      </c>
      <c r="AP7" s="8">
        <v>0.0</v>
      </c>
      <c r="AQ7" s="8">
        <v>0.0</v>
      </c>
      <c r="AR7" s="8">
        <v>0.0</v>
      </c>
      <c r="AS7" s="8">
        <v>0.0</v>
      </c>
      <c r="AT7" s="8">
        <v>0.0</v>
      </c>
      <c r="AU7" s="8">
        <v>0.0</v>
      </c>
      <c r="AV7" s="8">
        <v>0.0</v>
      </c>
      <c r="AW7" s="8">
        <v>-0.47743</v>
      </c>
      <c r="AX7" s="8">
        <v>-0.12249</v>
      </c>
      <c r="AY7" s="8">
        <v>-0.05569</v>
      </c>
      <c r="AZ7" s="8">
        <v>-0.07962</v>
      </c>
      <c r="BA7" s="8">
        <v>-0.07043</v>
      </c>
    </row>
    <row r="8">
      <c r="A8" s="7" t="s">
        <v>10</v>
      </c>
      <c r="B8" s="8">
        <v>-273.33</v>
      </c>
      <c r="C8" s="8">
        <v>-275.564</v>
      </c>
      <c r="D8" s="8">
        <v>-275.762</v>
      </c>
      <c r="E8" s="8">
        <v>-275.903</v>
      </c>
      <c r="F8" s="8">
        <v>-275.798</v>
      </c>
      <c r="G8" s="8">
        <v>16.0</v>
      </c>
      <c r="H8" s="8">
        <v>1.328503</v>
      </c>
      <c r="I8" s="8">
        <v>-8.93024</v>
      </c>
      <c r="J8" s="8">
        <v>-9.26882</v>
      </c>
      <c r="K8" s="8">
        <v>-9.2565</v>
      </c>
      <c r="L8" s="8">
        <v>-9.31204</v>
      </c>
      <c r="M8" s="8">
        <v>-9.24933</v>
      </c>
      <c r="N8" s="8">
        <v>7.0</v>
      </c>
      <c r="O8" s="8">
        <v>1.910756</v>
      </c>
      <c r="P8" s="8">
        <v>-263.846</v>
      </c>
      <c r="Q8" s="8">
        <v>-266.153</v>
      </c>
      <c r="R8" s="8">
        <v>-266.443</v>
      </c>
      <c r="S8" s="8">
        <v>-266.5</v>
      </c>
      <c r="T8" s="8">
        <v>-266.468</v>
      </c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8">
        <v>0.0</v>
      </c>
      <c r="AA8" s="8">
        <v>0.0</v>
      </c>
      <c r="AB8" s="8">
        <v>0.0</v>
      </c>
      <c r="AC8" s="8">
        <v>0.0</v>
      </c>
      <c r="AD8" s="8">
        <v>0.0</v>
      </c>
      <c r="AE8" s="8">
        <v>0.0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8">
        <v>0.0</v>
      </c>
      <c r="AM8" s="8">
        <v>0.0</v>
      </c>
      <c r="AN8" s="8">
        <v>0.0</v>
      </c>
      <c r="AO8" s="8">
        <v>0.0</v>
      </c>
      <c r="AP8" s="8">
        <v>0.0</v>
      </c>
      <c r="AQ8" s="8">
        <v>0.0</v>
      </c>
      <c r="AR8" s="8">
        <v>0.0</v>
      </c>
      <c r="AS8" s="8">
        <v>0.0</v>
      </c>
      <c r="AT8" s="8">
        <v>0.0</v>
      </c>
      <c r="AU8" s="8">
        <v>0.0</v>
      </c>
      <c r="AV8" s="8">
        <v>0.0</v>
      </c>
      <c r="AW8" s="8">
        <v>-0.55434</v>
      </c>
      <c r="AX8" s="8">
        <v>-0.14172</v>
      </c>
      <c r="AY8" s="8">
        <v>-0.06198</v>
      </c>
      <c r="AZ8" s="8">
        <v>-0.09117</v>
      </c>
      <c r="BA8" s="8">
        <v>-0.0808</v>
      </c>
    </row>
    <row r="9">
      <c r="A9" s="7" t="s">
        <v>11</v>
      </c>
      <c r="B9" s="8">
        <v>-312.216</v>
      </c>
      <c r="C9" s="8">
        <v>-314.763</v>
      </c>
      <c r="D9" s="8">
        <v>-314.988</v>
      </c>
      <c r="E9" s="8">
        <v>-315.15</v>
      </c>
      <c r="F9" s="8">
        <v>-315.031</v>
      </c>
      <c r="G9" s="8">
        <v>18.0</v>
      </c>
      <c r="H9" s="8">
        <v>1.494566</v>
      </c>
      <c r="I9" s="8">
        <v>-10.0465</v>
      </c>
      <c r="J9" s="8">
        <v>-10.4274</v>
      </c>
      <c r="K9" s="8">
        <v>-10.4136</v>
      </c>
      <c r="L9" s="8">
        <v>-10.476</v>
      </c>
      <c r="M9" s="8">
        <v>-10.4055</v>
      </c>
      <c r="N9" s="8">
        <v>8.0</v>
      </c>
      <c r="O9" s="8">
        <v>2.183721</v>
      </c>
      <c r="P9" s="8">
        <v>-301.538</v>
      </c>
      <c r="Q9" s="8">
        <v>-304.175</v>
      </c>
      <c r="R9" s="8">
        <v>-304.507</v>
      </c>
      <c r="S9" s="8">
        <v>-304.571</v>
      </c>
      <c r="T9" s="8">
        <v>-304.535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8">
        <v>0.0</v>
      </c>
      <c r="AE9" s="8">
        <v>0.0</v>
      </c>
      <c r="AF9" s="8">
        <v>0.0</v>
      </c>
      <c r="AG9" s="8">
        <v>0.0</v>
      </c>
      <c r="AH9" s="8">
        <v>0.0</v>
      </c>
      <c r="AI9" s="8">
        <v>0.0</v>
      </c>
      <c r="AJ9" s="8">
        <v>0.0</v>
      </c>
      <c r="AK9" s="8">
        <v>0.0</v>
      </c>
      <c r="AL9" s="8">
        <v>0.0</v>
      </c>
      <c r="AM9" s="8">
        <v>0.0</v>
      </c>
      <c r="AN9" s="8">
        <v>0.0</v>
      </c>
      <c r="AO9" s="8">
        <v>0.0</v>
      </c>
      <c r="AP9" s="8">
        <v>0.0</v>
      </c>
      <c r="AQ9" s="8">
        <v>0.0</v>
      </c>
      <c r="AR9" s="8">
        <v>0.0</v>
      </c>
      <c r="AS9" s="8">
        <v>0.0</v>
      </c>
      <c r="AT9" s="8">
        <v>0.0</v>
      </c>
      <c r="AU9" s="8">
        <v>0.0</v>
      </c>
      <c r="AV9" s="8">
        <v>0.0</v>
      </c>
      <c r="AW9" s="8">
        <v>-0.6312</v>
      </c>
      <c r="AX9" s="8">
        <v>-0.16091</v>
      </c>
      <c r="AY9" s="8">
        <v>-0.06827</v>
      </c>
      <c r="AZ9" s="8">
        <v>-0.10266</v>
      </c>
      <c r="BA9" s="8">
        <v>-0.0911</v>
      </c>
    </row>
    <row r="10">
      <c r="A10" s="7" t="s">
        <v>12</v>
      </c>
      <c r="B10" s="8">
        <v>-351.101</v>
      </c>
      <c r="C10" s="8">
        <v>-353.963</v>
      </c>
      <c r="D10" s="8">
        <v>-354.215</v>
      </c>
      <c r="E10" s="8">
        <v>-354.397</v>
      </c>
      <c r="F10" s="8">
        <v>-354.265</v>
      </c>
      <c r="G10" s="8">
        <v>20.0</v>
      </c>
      <c r="H10" s="8">
        <v>1.660628</v>
      </c>
      <c r="I10" s="8">
        <v>-11.1628</v>
      </c>
      <c r="J10" s="8">
        <v>-11.586</v>
      </c>
      <c r="K10" s="8">
        <v>-11.5706</v>
      </c>
      <c r="L10" s="8">
        <v>-11.6401</v>
      </c>
      <c r="M10" s="8">
        <v>-11.5617</v>
      </c>
      <c r="N10" s="8">
        <v>9.0</v>
      </c>
      <c r="O10" s="8">
        <v>2.456686</v>
      </c>
      <c r="P10" s="8">
        <v>-339.23</v>
      </c>
      <c r="Q10" s="8">
        <v>-342.197</v>
      </c>
      <c r="R10" s="8">
        <v>-342.57</v>
      </c>
      <c r="S10" s="8">
        <v>-342.643</v>
      </c>
      <c r="T10" s="8">
        <v>-342.602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0.0</v>
      </c>
      <c r="AB10" s="8">
        <v>0.0</v>
      </c>
      <c r="AC10" s="8">
        <v>0.0</v>
      </c>
      <c r="AD10" s="8">
        <v>0.0</v>
      </c>
      <c r="AE10" s="8">
        <v>0.0</v>
      </c>
      <c r="AF10" s="8">
        <v>0.0</v>
      </c>
      <c r="AG10" s="8">
        <v>0.0</v>
      </c>
      <c r="AH10" s="8">
        <v>0.0</v>
      </c>
      <c r="AI10" s="8">
        <v>0.0</v>
      </c>
      <c r="AJ10" s="8">
        <v>0.0</v>
      </c>
      <c r="AK10" s="8">
        <v>0.0</v>
      </c>
      <c r="AL10" s="8">
        <v>0.0</v>
      </c>
      <c r="AM10" s="8">
        <v>0.0</v>
      </c>
      <c r="AN10" s="8">
        <v>0.0</v>
      </c>
      <c r="AO10" s="8">
        <v>0.0</v>
      </c>
      <c r="AP10" s="8">
        <v>0.0</v>
      </c>
      <c r="AQ10" s="8">
        <v>0.0</v>
      </c>
      <c r="AR10" s="8">
        <v>0.0</v>
      </c>
      <c r="AS10" s="8">
        <v>0.0</v>
      </c>
      <c r="AT10" s="8">
        <v>0.0</v>
      </c>
      <c r="AU10" s="8">
        <v>0.0</v>
      </c>
      <c r="AV10" s="8">
        <v>0.0</v>
      </c>
      <c r="AW10" s="8">
        <v>-0.70809</v>
      </c>
      <c r="AX10" s="8">
        <v>-0.18013</v>
      </c>
      <c r="AY10" s="8">
        <v>-0.07456</v>
      </c>
      <c r="AZ10" s="8">
        <v>-0.11419</v>
      </c>
      <c r="BA10" s="8">
        <v>-0.10145</v>
      </c>
    </row>
    <row r="11">
      <c r="A11" s="7" t="s">
        <v>13</v>
      </c>
      <c r="B11" s="8">
        <v>-642.801</v>
      </c>
      <c r="C11" s="8">
        <v>-647.328</v>
      </c>
      <c r="D11" s="8">
        <v>-647.709</v>
      </c>
      <c r="E11" s="8">
        <v>-647.882</v>
      </c>
      <c r="F11" s="8">
        <v>-647.794</v>
      </c>
      <c r="G11" s="8">
        <v>8.0</v>
      </c>
      <c r="H11" s="8">
        <v>0.664251</v>
      </c>
      <c r="I11" s="8">
        <v>-4.46512</v>
      </c>
      <c r="J11" s="8">
        <v>-4.63441</v>
      </c>
      <c r="K11" s="8">
        <v>-4.62825</v>
      </c>
      <c r="L11" s="8">
        <v>-4.65602</v>
      </c>
      <c r="M11" s="8">
        <v>-4.62466</v>
      </c>
      <c r="N11" s="8">
        <v>9.0</v>
      </c>
      <c r="O11" s="8">
        <v>2.456686</v>
      </c>
      <c r="P11" s="8">
        <v>-339.23</v>
      </c>
      <c r="Q11" s="8">
        <v>-342.197</v>
      </c>
      <c r="R11" s="8">
        <v>-342.57</v>
      </c>
      <c r="S11" s="8">
        <v>-342.643</v>
      </c>
      <c r="T11" s="8">
        <v>-342.602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v>4.0</v>
      </c>
      <c r="AC11" s="8">
        <v>0.37962</v>
      </c>
      <c r="AD11" s="8">
        <v>-298.087</v>
      </c>
      <c r="AE11" s="8">
        <v>-300.029</v>
      </c>
      <c r="AF11" s="8">
        <v>-300.256</v>
      </c>
      <c r="AG11" s="8">
        <v>-300.288</v>
      </c>
      <c r="AH11" s="8">
        <v>-300.261</v>
      </c>
      <c r="AI11" s="8">
        <v>0.0</v>
      </c>
      <c r="AJ11" s="8">
        <v>0.0</v>
      </c>
      <c r="AK11" s="8">
        <v>0.0</v>
      </c>
      <c r="AL11" s="8">
        <v>0.0</v>
      </c>
      <c r="AM11" s="8">
        <v>0.0</v>
      </c>
      <c r="AN11" s="8">
        <v>0.0</v>
      </c>
      <c r="AO11" s="8">
        <v>0.0</v>
      </c>
      <c r="AP11" s="8">
        <v>0.0</v>
      </c>
      <c r="AQ11" s="8">
        <v>0.0</v>
      </c>
      <c r="AR11" s="8">
        <v>0.0</v>
      </c>
      <c r="AS11" s="8">
        <v>0.0</v>
      </c>
      <c r="AT11" s="8">
        <v>0.0</v>
      </c>
      <c r="AU11" s="8">
        <v>0.0</v>
      </c>
      <c r="AV11" s="8">
        <v>0.0</v>
      </c>
      <c r="AW11" s="8">
        <v>-1.01864</v>
      </c>
      <c r="AX11" s="8">
        <v>-0.46739</v>
      </c>
      <c r="AY11" s="8">
        <v>-0.2558</v>
      </c>
      <c r="AZ11" s="8">
        <v>-0.29503</v>
      </c>
      <c r="BA11" s="8">
        <v>-0.30736</v>
      </c>
    </row>
    <row r="12">
      <c r="A12" s="7" t="s">
        <v>14</v>
      </c>
      <c r="B12" s="8">
        <v>-567.031</v>
      </c>
      <c r="C12" s="8">
        <v>-571.423</v>
      </c>
      <c r="D12" s="8">
        <v>-571.776</v>
      </c>
      <c r="E12" s="8">
        <v>-571.963</v>
      </c>
      <c r="F12" s="8">
        <v>-571.872</v>
      </c>
      <c r="G12" s="8">
        <v>10.0</v>
      </c>
      <c r="H12" s="8">
        <v>0.830314</v>
      </c>
      <c r="I12" s="8">
        <v>-5.5814</v>
      </c>
      <c r="J12" s="8">
        <v>-5.79301</v>
      </c>
      <c r="K12" s="8">
        <v>-5.78531</v>
      </c>
      <c r="L12" s="8">
        <v>-5.82003</v>
      </c>
      <c r="M12" s="8">
        <v>-5.78083</v>
      </c>
      <c r="N12" s="8">
        <v>12.0</v>
      </c>
      <c r="O12" s="8">
        <v>3.275582</v>
      </c>
      <c r="P12" s="8">
        <v>-452.307</v>
      </c>
      <c r="Q12" s="8">
        <v>-456.262</v>
      </c>
      <c r="R12" s="8">
        <v>-456.76</v>
      </c>
      <c r="S12" s="8">
        <v>-456.857</v>
      </c>
      <c r="T12" s="8">
        <v>-456.802</v>
      </c>
      <c r="U12" s="8">
        <v>2.0</v>
      </c>
      <c r="V12" s="8">
        <v>0.360071</v>
      </c>
      <c r="W12" s="8">
        <v>-108.488</v>
      </c>
      <c r="X12" s="8">
        <v>-109.289</v>
      </c>
      <c r="Y12" s="8">
        <v>-109.381</v>
      </c>
      <c r="Z12" s="8">
        <v>-109.406</v>
      </c>
      <c r="AA12" s="8">
        <v>-109.398</v>
      </c>
      <c r="AB12" s="8">
        <v>0.0</v>
      </c>
      <c r="AC12" s="8">
        <v>0.0</v>
      </c>
      <c r="AD12" s="8">
        <v>0.0</v>
      </c>
      <c r="AE12" s="8">
        <v>0.0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8">
        <v>0.0</v>
      </c>
      <c r="AL12" s="8">
        <v>0.0</v>
      </c>
      <c r="AM12" s="8">
        <v>0.0</v>
      </c>
      <c r="AN12" s="8">
        <v>0.0</v>
      </c>
      <c r="AO12" s="8">
        <v>0.0</v>
      </c>
      <c r="AP12" s="8">
        <v>0.0</v>
      </c>
      <c r="AQ12" s="8">
        <v>0.0</v>
      </c>
      <c r="AR12" s="8">
        <v>0.0</v>
      </c>
      <c r="AS12" s="8">
        <v>0.0</v>
      </c>
      <c r="AT12" s="8">
        <v>0.0</v>
      </c>
      <c r="AU12" s="8">
        <v>0.0</v>
      </c>
      <c r="AV12" s="8">
        <v>0.0</v>
      </c>
      <c r="AW12" s="8">
        <v>-0.65492</v>
      </c>
      <c r="AX12" s="8">
        <v>-0.07884</v>
      </c>
      <c r="AY12" s="8">
        <v>0.150444</v>
      </c>
      <c r="AZ12" s="8">
        <v>0.11983</v>
      </c>
      <c r="BA12" s="8">
        <v>0.10907</v>
      </c>
    </row>
    <row r="13">
      <c r="A13" s="7" t="s">
        <v>15</v>
      </c>
      <c r="B13" s="8">
        <v>-674.111</v>
      </c>
      <c r="C13" s="8">
        <v>-678.916</v>
      </c>
      <c r="D13" s="8">
        <v>-679.305</v>
      </c>
      <c r="E13" s="8">
        <v>-679.508</v>
      </c>
      <c r="F13" s="8">
        <v>-679.404</v>
      </c>
      <c r="G13" s="8">
        <v>10.0</v>
      </c>
      <c r="H13" s="8">
        <v>0.830314</v>
      </c>
      <c r="I13" s="8">
        <v>-5.5814</v>
      </c>
      <c r="J13" s="8">
        <v>-5.79301</v>
      </c>
      <c r="K13" s="8">
        <v>-5.78531</v>
      </c>
      <c r="L13" s="8">
        <v>-5.82003</v>
      </c>
      <c r="M13" s="8">
        <v>-5.78083</v>
      </c>
      <c r="N13" s="8">
        <v>8.0</v>
      </c>
      <c r="O13" s="8">
        <v>2.183721</v>
      </c>
      <c r="P13" s="8">
        <v>-301.538</v>
      </c>
      <c r="Q13" s="8">
        <v>-304.175</v>
      </c>
      <c r="R13" s="8">
        <v>-304.507</v>
      </c>
      <c r="S13" s="8">
        <v>-304.571</v>
      </c>
      <c r="T13" s="8">
        <v>-304.535</v>
      </c>
      <c r="U13" s="8">
        <v>4.0</v>
      </c>
      <c r="V13" s="8">
        <v>0.720142</v>
      </c>
      <c r="W13" s="8">
        <v>-216.975</v>
      </c>
      <c r="X13" s="8">
        <v>-218.577</v>
      </c>
      <c r="Y13" s="8">
        <v>-218.762</v>
      </c>
      <c r="Z13" s="8">
        <v>-218.811</v>
      </c>
      <c r="AA13" s="8">
        <v>-218.797</v>
      </c>
      <c r="AB13" s="8">
        <v>2.0</v>
      </c>
      <c r="AC13" s="8">
        <v>0.18981</v>
      </c>
      <c r="AD13" s="8">
        <v>-149.044</v>
      </c>
      <c r="AE13" s="8">
        <v>-150.015</v>
      </c>
      <c r="AF13" s="8">
        <v>-150.128</v>
      </c>
      <c r="AG13" s="8">
        <v>-150.144</v>
      </c>
      <c r="AH13" s="8">
        <v>-150.13</v>
      </c>
      <c r="AI13" s="8">
        <v>0.0</v>
      </c>
      <c r="AJ13" s="8">
        <v>0.0</v>
      </c>
      <c r="AK13" s="8">
        <v>0.0</v>
      </c>
      <c r="AL13" s="8">
        <v>0.0</v>
      </c>
      <c r="AM13" s="8">
        <v>0.0</v>
      </c>
      <c r="AN13" s="8">
        <v>0.0</v>
      </c>
      <c r="AO13" s="8">
        <v>0.0</v>
      </c>
      <c r="AP13" s="8">
        <v>0.0</v>
      </c>
      <c r="AQ13" s="8">
        <v>0.0</v>
      </c>
      <c r="AR13" s="8">
        <v>0.0</v>
      </c>
      <c r="AS13" s="8">
        <v>0.0</v>
      </c>
      <c r="AT13" s="8">
        <v>0.0</v>
      </c>
      <c r="AU13" s="8">
        <v>0.0</v>
      </c>
      <c r="AV13" s="8">
        <v>0.0</v>
      </c>
      <c r="AW13" s="8">
        <v>-0.97275</v>
      </c>
      <c r="AX13" s="8">
        <v>-0.35691</v>
      </c>
      <c r="AY13" s="8">
        <v>-0.12325</v>
      </c>
      <c r="AZ13" s="8">
        <v>-0.16092</v>
      </c>
      <c r="BA13" s="8">
        <v>-0.16105</v>
      </c>
    </row>
    <row r="14">
      <c r="A14" s="7" t="s">
        <v>16</v>
      </c>
      <c r="B14" s="8">
        <v>-153.533</v>
      </c>
      <c r="C14" s="8">
        <v>-154.64</v>
      </c>
      <c r="D14" s="8">
        <v>-154.744</v>
      </c>
      <c r="E14" s="8">
        <v>-154.795</v>
      </c>
      <c r="F14" s="8">
        <v>-154.754</v>
      </c>
      <c r="G14" s="8">
        <v>6.0</v>
      </c>
      <c r="H14" s="8">
        <v>0.498189</v>
      </c>
      <c r="I14" s="8">
        <v>-3.34884</v>
      </c>
      <c r="J14" s="8">
        <v>-3.47581</v>
      </c>
      <c r="K14" s="8">
        <v>-3.47119</v>
      </c>
      <c r="L14" s="8">
        <v>-3.49202</v>
      </c>
      <c r="M14" s="8">
        <v>-3.4685</v>
      </c>
      <c r="N14" s="8">
        <v>2.0</v>
      </c>
      <c r="O14" s="8">
        <v>0.54593</v>
      </c>
      <c r="P14" s="8">
        <v>-75.3845</v>
      </c>
      <c r="Q14" s="8">
        <v>-76.0437</v>
      </c>
      <c r="R14" s="8">
        <v>-76.1266</v>
      </c>
      <c r="S14" s="8">
        <v>-76.1428</v>
      </c>
      <c r="T14" s="8">
        <v>-76.1337</v>
      </c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8">
        <v>0.0</v>
      </c>
      <c r="AB14" s="8">
        <v>1.0</v>
      </c>
      <c r="AC14" s="8">
        <v>0.094905</v>
      </c>
      <c r="AD14" s="8">
        <v>-74.5218</v>
      </c>
      <c r="AE14" s="8">
        <v>-75.0073</v>
      </c>
      <c r="AF14" s="8">
        <v>-75.0639</v>
      </c>
      <c r="AG14" s="8">
        <v>-75.0721</v>
      </c>
      <c r="AH14" s="8">
        <v>-75.0651</v>
      </c>
      <c r="AI14" s="8">
        <v>0.0</v>
      </c>
      <c r="AJ14" s="8">
        <v>0.0</v>
      </c>
      <c r="AK14" s="8">
        <v>0.0</v>
      </c>
      <c r="AL14" s="8">
        <v>0.0</v>
      </c>
      <c r="AM14" s="8">
        <v>0.0</v>
      </c>
      <c r="AN14" s="8">
        <v>0.0</v>
      </c>
      <c r="AO14" s="8">
        <v>0.0</v>
      </c>
      <c r="AP14" s="8">
        <v>0.0</v>
      </c>
      <c r="AQ14" s="8">
        <v>0.0</v>
      </c>
      <c r="AR14" s="8">
        <v>0.0</v>
      </c>
      <c r="AS14" s="8">
        <v>0.0</v>
      </c>
      <c r="AT14" s="8">
        <v>0.0</v>
      </c>
      <c r="AU14" s="8">
        <v>0.0</v>
      </c>
      <c r="AV14" s="8">
        <v>0.0</v>
      </c>
      <c r="AW14" s="8">
        <v>-0.27818</v>
      </c>
      <c r="AX14" s="8">
        <v>-0.11364</v>
      </c>
      <c r="AY14" s="8">
        <v>-0.08195</v>
      </c>
      <c r="AZ14" s="8">
        <v>-0.08854</v>
      </c>
      <c r="BA14" s="8">
        <v>-0.08689</v>
      </c>
    </row>
    <row r="15">
      <c r="A15" s="7" t="s">
        <v>17</v>
      </c>
      <c r="B15" s="8">
        <v>-208.069</v>
      </c>
      <c r="C15" s="8">
        <v>-209.672</v>
      </c>
      <c r="D15" s="8">
        <v>-209.802</v>
      </c>
      <c r="E15" s="8">
        <v>-209.874</v>
      </c>
      <c r="F15" s="8">
        <v>-209.836</v>
      </c>
      <c r="G15" s="8">
        <v>5.0</v>
      </c>
      <c r="H15" s="8">
        <v>0.415157</v>
      </c>
      <c r="I15" s="8">
        <v>-2.7907</v>
      </c>
      <c r="J15" s="8">
        <v>-2.89651</v>
      </c>
      <c r="K15" s="8">
        <v>-2.89265</v>
      </c>
      <c r="L15" s="8">
        <v>-2.91001</v>
      </c>
      <c r="M15" s="8">
        <v>-2.89042</v>
      </c>
      <c r="N15" s="8">
        <v>4.0</v>
      </c>
      <c r="O15" s="8">
        <v>1.091861</v>
      </c>
      <c r="P15" s="8">
        <v>-150.769</v>
      </c>
      <c r="Q15" s="8">
        <v>-152.087</v>
      </c>
      <c r="R15" s="8">
        <v>-152.253</v>
      </c>
      <c r="S15" s="8">
        <v>-152.286</v>
      </c>
      <c r="T15" s="8">
        <v>-152.267</v>
      </c>
      <c r="U15" s="8">
        <v>1.0</v>
      </c>
      <c r="V15" s="8">
        <v>0.180035</v>
      </c>
      <c r="W15" s="8">
        <v>-54.2438</v>
      </c>
      <c r="X15" s="8">
        <v>-54.6443</v>
      </c>
      <c r="Y15" s="8">
        <v>-54.6905</v>
      </c>
      <c r="Z15" s="8">
        <v>-54.7028</v>
      </c>
      <c r="AA15" s="8">
        <v>-54.6992</v>
      </c>
      <c r="AB15" s="8">
        <v>0.0</v>
      </c>
      <c r="AC15" s="8">
        <v>0.0</v>
      </c>
      <c r="AD15" s="8">
        <v>0.0</v>
      </c>
      <c r="AE15" s="8">
        <v>0.0</v>
      </c>
      <c r="AF15" s="8">
        <v>0.0</v>
      </c>
      <c r="AG15" s="8">
        <v>0.0</v>
      </c>
      <c r="AH15" s="8">
        <v>0.0</v>
      </c>
      <c r="AI15" s="8">
        <v>0.0</v>
      </c>
      <c r="AJ15" s="8">
        <v>0.0</v>
      </c>
      <c r="AK15" s="8">
        <v>0.0</v>
      </c>
      <c r="AL15" s="8">
        <v>0.0</v>
      </c>
      <c r="AM15" s="8">
        <v>0.0</v>
      </c>
      <c r="AN15" s="8">
        <v>0.0</v>
      </c>
      <c r="AO15" s="8">
        <v>0.0</v>
      </c>
      <c r="AP15" s="8">
        <v>0.0</v>
      </c>
      <c r="AQ15" s="8">
        <v>0.0</v>
      </c>
      <c r="AR15" s="8">
        <v>0.0</v>
      </c>
      <c r="AS15" s="8">
        <v>0.0</v>
      </c>
      <c r="AT15" s="8">
        <v>0.0</v>
      </c>
      <c r="AU15" s="8">
        <v>0.0</v>
      </c>
      <c r="AV15" s="8">
        <v>0.0</v>
      </c>
      <c r="AW15" s="8">
        <v>-0.2658</v>
      </c>
      <c r="AX15" s="8">
        <v>-0.04343</v>
      </c>
      <c r="AY15" s="8">
        <v>0.034527</v>
      </c>
      <c r="AZ15" s="8">
        <v>0.024023</v>
      </c>
      <c r="BA15" s="8">
        <v>0.021137</v>
      </c>
    </row>
    <row r="16">
      <c r="A16" s="7" t="s">
        <v>18</v>
      </c>
      <c r="B16" s="8">
        <v>-510.628</v>
      </c>
      <c r="C16" s="8">
        <v>-514.342</v>
      </c>
      <c r="D16" s="8">
        <v>-514.651</v>
      </c>
      <c r="E16" s="8">
        <v>-514.804</v>
      </c>
      <c r="F16" s="8">
        <v>-514.721</v>
      </c>
      <c r="G16" s="8">
        <v>9.0</v>
      </c>
      <c r="H16" s="8">
        <v>0.747283</v>
      </c>
      <c r="I16" s="8">
        <v>-5.02326</v>
      </c>
      <c r="J16" s="8">
        <v>-5.21371</v>
      </c>
      <c r="K16" s="8">
        <v>-5.20678</v>
      </c>
      <c r="L16" s="8">
        <v>-5.23802</v>
      </c>
      <c r="M16" s="8">
        <v>-5.20275</v>
      </c>
      <c r="N16" s="8">
        <v>8.0</v>
      </c>
      <c r="O16" s="8">
        <v>2.183721</v>
      </c>
      <c r="P16" s="8">
        <v>-301.538</v>
      </c>
      <c r="Q16" s="8">
        <v>-304.175</v>
      </c>
      <c r="R16" s="8">
        <v>-304.507</v>
      </c>
      <c r="S16" s="8">
        <v>-304.571</v>
      </c>
      <c r="T16" s="8">
        <v>-304.535</v>
      </c>
      <c r="U16" s="8">
        <v>1.0</v>
      </c>
      <c r="V16" s="8">
        <v>0.180035</v>
      </c>
      <c r="W16" s="8">
        <v>-54.2438</v>
      </c>
      <c r="X16" s="8">
        <v>-54.6443</v>
      </c>
      <c r="Y16" s="8">
        <v>-54.6905</v>
      </c>
      <c r="Z16" s="8">
        <v>-54.7028</v>
      </c>
      <c r="AA16" s="8">
        <v>-54.6992</v>
      </c>
      <c r="AB16" s="8">
        <v>2.0</v>
      </c>
      <c r="AC16" s="8">
        <v>0.18981</v>
      </c>
      <c r="AD16" s="8">
        <v>-149.044</v>
      </c>
      <c r="AE16" s="8">
        <v>-150.015</v>
      </c>
      <c r="AF16" s="8">
        <v>-150.128</v>
      </c>
      <c r="AG16" s="8">
        <v>-150.144</v>
      </c>
      <c r="AH16" s="8">
        <v>-150.13</v>
      </c>
      <c r="AI16" s="8">
        <v>0.0</v>
      </c>
      <c r="AJ16" s="8">
        <v>0.0</v>
      </c>
      <c r="AK16" s="8">
        <v>0.0</v>
      </c>
      <c r="AL16" s="8">
        <v>0.0</v>
      </c>
      <c r="AM16" s="8">
        <v>0.0</v>
      </c>
      <c r="AN16" s="8">
        <v>0.0</v>
      </c>
      <c r="AO16" s="8">
        <v>0.0</v>
      </c>
      <c r="AP16" s="8">
        <v>0.0</v>
      </c>
      <c r="AQ16" s="8">
        <v>0.0</v>
      </c>
      <c r="AR16" s="8">
        <v>0.0</v>
      </c>
      <c r="AS16" s="8">
        <v>0.0</v>
      </c>
      <c r="AT16" s="8">
        <v>0.0</v>
      </c>
      <c r="AU16" s="8">
        <v>0.0</v>
      </c>
      <c r="AV16" s="8">
        <v>0.0</v>
      </c>
      <c r="AW16" s="8">
        <v>-0.77975</v>
      </c>
      <c r="AX16" s="8">
        <v>-0.29432</v>
      </c>
      <c r="AY16" s="8">
        <v>-0.11921</v>
      </c>
      <c r="AZ16" s="8">
        <v>-0.14735</v>
      </c>
      <c r="BA16" s="8">
        <v>-0.15403</v>
      </c>
    </row>
    <row r="17">
      <c r="A17" s="7" t="s">
        <v>19</v>
      </c>
      <c r="B17" s="8">
        <v>-1655.35</v>
      </c>
      <c r="C17" s="8">
        <v>-1663.42</v>
      </c>
      <c r="D17" s="8">
        <v>-1664.13</v>
      </c>
      <c r="E17" s="8">
        <v>-1664.48</v>
      </c>
      <c r="F17" s="8">
        <v>-1664.34</v>
      </c>
      <c r="G17" s="8">
        <v>11.0</v>
      </c>
      <c r="H17" s="8">
        <v>0.913346</v>
      </c>
      <c r="I17" s="8">
        <v>-6.13954</v>
      </c>
      <c r="J17" s="8">
        <v>-6.37232</v>
      </c>
      <c r="K17" s="8">
        <v>-6.36384</v>
      </c>
      <c r="L17" s="8">
        <v>-6.40203</v>
      </c>
      <c r="M17" s="8">
        <v>-6.35891</v>
      </c>
      <c r="N17" s="8">
        <v>14.0</v>
      </c>
      <c r="O17" s="8">
        <v>3.821512</v>
      </c>
      <c r="P17" s="8">
        <v>-527.692</v>
      </c>
      <c r="Q17" s="8">
        <v>-532.306</v>
      </c>
      <c r="R17" s="8">
        <v>-532.887</v>
      </c>
      <c r="S17" s="8">
        <v>-533.0</v>
      </c>
      <c r="T17" s="8">
        <v>-532.936</v>
      </c>
      <c r="U17" s="8">
        <v>1.0</v>
      </c>
      <c r="V17" s="8">
        <v>0.180035</v>
      </c>
      <c r="W17" s="8">
        <v>-54.2438</v>
      </c>
      <c r="X17" s="8">
        <v>-54.6443</v>
      </c>
      <c r="Y17" s="8">
        <v>-54.6905</v>
      </c>
      <c r="Z17" s="8">
        <v>-54.7028</v>
      </c>
      <c r="AA17" s="8">
        <v>-54.6992</v>
      </c>
      <c r="AB17" s="8">
        <v>2.0</v>
      </c>
      <c r="AC17" s="8">
        <v>0.18981</v>
      </c>
      <c r="AD17" s="8">
        <v>-149.044</v>
      </c>
      <c r="AE17" s="8">
        <v>-150.015</v>
      </c>
      <c r="AF17" s="8">
        <v>-150.128</v>
      </c>
      <c r="AG17" s="8">
        <v>-150.144</v>
      </c>
      <c r="AH17" s="8">
        <v>-150.13</v>
      </c>
      <c r="AI17" s="8">
        <v>0.0</v>
      </c>
      <c r="AJ17" s="8">
        <v>0.0</v>
      </c>
      <c r="AK17" s="8">
        <v>0.0</v>
      </c>
      <c r="AL17" s="8">
        <v>0.0</v>
      </c>
      <c r="AM17" s="8">
        <v>0.0</v>
      </c>
      <c r="AN17" s="8">
        <v>0.0</v>
      </c>
      <c r="AO17" s="8">
        <v>0.0</v>
      </c>
      <c r="AP17" s="8">
        <v>2.0</v>
      </c>
      <c r="AQ17" s="8">
        <v>0.092403</v>
      </c>
      <c r="AR17" s="8">
        <v>-917.061</v>
      </c>
      <c r="AS17" s="8">
        <v>-919.682</v>
      </c>
      <c r="AT17" s="8">
        <v>-919.969</v>
      </c>
      <c r="AU17" s="8">
        <v>-920.068</v>
      </c>
      <c r="AV17" s="8">
        <v>-920.04</v>
      </c>
      <c r="AW17" s="8">
        <v>-1.17158</v>
      </c>
      <c r="AX17" s="8">
        <v>-0.40185</v>
      </c>
      <c r="AY17" s="8">
        <v>-0.09294</v>
      </c>
      <c r="AZ17" s="8">
        <v>-0.16162</v>
      </c>
      <c r="BA17" s="8">
        <v>-0.18035</v>
      </c>
    </row>
    <row r="18">
      <c r="A18" s="7" t="s">
        <v>20</v>
      </c>
      <c r="B18" s="8">
        <v>-650.199</v>
      </c>
      <c r="C18" s="8">
        <v>-655.106</v>
      </c>
      <c r="D18" s="8">
        <v>-655.52</v>
      </c>
      <c r="E18" s="8">
        <v>-655.767</v>
      </c>
      <c r="F18" s="8">
        <v>-655.623</v>
      </c>
      <c r="G18" s="8">
        <v>18.0</v>
      </c>
      <c r="H18" s="8">
        <v>1.494566</v>
      </c>
      <c r="I18" s="8">
        <v>-10.0465</v>
      </c>
      <c r="J18" s="8">
        <v>-10.4274</v>
      </c>
      <c r="K18" s="8">
        <v>-10.4136</v>
      </c>
      <c r="L18" s="8">
        <v>-10.476</v>
      </c>
      <c r="M18" s="8">
        <v>-10.4055</v>
      </c>
      <c r="N18" s="8">
        <v>13.0</v>
      </c>
      <c r="O18" s="8">
        <v>3.548547</v>
      </c>
      <c r="P18" s="8">
        <v>-489.999</v>
      </c>
      <c r="Q18" s="8">
        <v>-494.284</v>
      </c>
      <c r="R18" s="8">
        <v>-494.823</v>
      </c>
      <c r="S18" s="8">
        <v>-494.928</v>
      </c>
      <c r="T18" s="8">
        <v>-494.869</v>
      </c>
      <c r="U18" s="8">
        <v>0.0</v>
      </c>
      <c r="V18" s="8">
        <v>0.0</v>
      </c>
      <c r="W18" s="8">
        <v>0.0</v>
      </c>
      <c r="X18" s="8">
        <v>0.0</v>
      </c>
      <c r="Y18" s="8">
        <v>0.0</v>
      </c>
      <c r="Z18" s="8">
        <v>0.0</v>
      </c>
      <c r="AA18" s="8">
        <v>0.0</v>
      </c>
      <c r="AB18" s="8">
        <v>2.0</v>
      </c>
      <c r="AC18" s="8">
        <v>0.18981</v>
      </c>
      <c r="AD18" s="8">
        <v>-149.044</v>
      </c>
      <c r="AE18" s="8">
        <v>-150.015</v>
      </c>
      <c r="AF18" s="8">
        <v>-150.128</v>
      </c>
      <c r="AG18" s="8">
        <v>-150.144</v>
      </c>
      <c r="AH18" s="8">
        <v>-150.13</v>
      </c>
      <c r="AI18" s="8">
        <v>0.0</v>
      </c>
      <c r="AJ18" s="8">
        <v>0.0</v>
      </c>
      <c r="AK18" s="8">
        <v>0.0</v>
      </c>
      <c r="AL18" s="8">
        <v>0.0</v>
      </c>
      <c r="AM18" s="8">
        <v>0.0</v>
      </c>
      <c r="AN18" s="8">
        <v>0.0</v>
      </c>
      <c r="AO18" s="8">
        <v>0.0</v>
      </c>
      <c r="AP18" s="8">
        <v>0.0</v>
      </c>
      <c r="AQ18" s="8">
        <v>0.0</v>
      </c>
      <c r="AR18" s="8">
        <v>0.0</v>
      </c>
      <c r="AS18" s="8">
        <v>0.0</v>
      </c>
      <c r="AT18" s="8">
        <v>0.0</v>
      </c>
      <c r="AU18" s="8">
        <v>0.0</v>
      </c>
      <c r="AV18" s="8">
        <v>0.0</v>
      </c>
      <c r="AW18" s="8">
        <v>-1.10912</v>
      </c>
      <c r="AX18" s="8">
        <v>-0.38024</v>
      </c>
      <c r="AY18" s="8">
        <v>-0.15588</v>
      </c>
      <c r="AZ18" s="8">
        <v>-0.21847</v>
      </c>
      <c r="BA18" s="8">
        <v>-0.21859</v>
      </c>
    </row>
    <row r="19">
      <c r="A19" s="7" t="s">
        <v>21</v>
      </c>
      <c r="B19" s="8">
        <v>-1182.91</v>
      </c>
      <c r="C19" s="8">
        <v>-1191.57</v>
      </c>
      <c r="D19" s="8">
        <v>-1192.29</v>
      </c>
      <c r="E19" s="8">
        <v>-1192.76</v>
      </c>
      <c r="F19" s="8">
        <v>-1192.51</v>
      </c>
      <c r="G19" s="8">
        <v>30.0</v>
      </c>
      <c r="H19" s="8">
        <v>2.490943</v>
      </c>
      <c r="I19" s="8">
        <v>-16.7442</v>
      </c>
      <c r="J19" s="8">
        <v>-17.379</v>
      </c>
      <c r="K19" s="8">
        <v>-17.3559</v>
      </c>
      <c r="L19" s="8">
        <v>-17.4601</v>
      </c>
      <c r="M19" s="8">
        <v>-17.3425</v>
      </c>
      <c r="N19" s="8">
        <v>21.0</v>
      </c>
      <c r="O19" s="8">
        <v>5.732268</v>
      </c>
      <c r="P19" s="8">
        <v>-791.537</v>
      </c>
      <c r="Q19" s="8">
        <v>-798.459</v>
      </c>
      <c r="R19" s="8">
        <v>-799.33</v>
      </c>
      <c r="S19" s="8">
        <v>-799.499</v>
      </c>
      <c r="T19" s="8">
        <v>-799.404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Z19" s="8">
        <v>0.0</v>
      </c>
      <c r="AA19" s="8">
        <v>0.0</v>
      </c>
      <c r="AB19" s="8">
        <v>5.0</v>
      </c>
      <c r="AC19" s="8">
        <v>0.474525</v>
      </c>
      <c r="AD19" s="8">
        <v>-372.609</v>
      </c>
      <c r="AE19" s="8">
        <v>-375.036</v>
      </c>
      <c r="AF19" s="8">
        <v>-375.319</v>
      </c>
      <c r="AG19" s="8">
        <v>-375.36</v>
      </c>
      <c r="AH19" s="8">
        <v>-375.326</v>
      </c>
      <c r="AI19" s="8">
        <v>0.0</v>
      </c>
      <c r="AJ19" s="8">
        <v>0.0</v>
      </c>
      <c r="AK19" s="8">
        <v>0.0</v>
      </c>
      <c r="AL19" s="8">
        <v>0.0</v>
      </c>
      <c r="AM19" s="8">
        <v>0.0</v>
      </c>
      <c r="AN19" s="8">
        <v>0.0</v>
      </c>
      <c r="AO19" s="8">
        <v>0.0</v>
      </c>
      <c r="AP19" s="8">
        <v>0.0</v>
      </c>
      <c r="AQ19" s="8">
        <v>0.0</v>
      </c>
      <c r="AR19" s="8">
        <v>0.0</v>
      </c>
      <c r="AS19" s="8">
        <v>0.0</v>
      </c>
      <c r="AT19" s="8">
        <v>0.0</v>
      </c>
      <c r="AU19" s="8">
        <v>0.0</v>
      </c>
      <c r="AV19" s="8">
        <v>0.0</v>
      </c>
      <c r="AW19" s="8">
        <v>-2.01855</v>
      </c>
      <c r="AX19" s="8">
        <v>-0.69753</v>
      </c>
      <c r="AY19" s="8">
        <v>-0.28597</v>
      </c>
      <c r="AZ19" s="8">
        <v>-0.43952</v>
      </c>
      <c r="BA19" s="8">
        <v>-0.44075</v>
      </c>
    </row>
    <row r="20">
      <c r="A20" s="7" t="s">
        <v>22</v>
      </c>
      <c r="B20" s="8">
        <v>-1319.19</v>
      </c>
      <c r="C20" s="8">
        <v>-1328.67</v>
      </c>
      <c r="D20" s="8">
        <v>-1329.47</v>
      </c>
      <c r="E20" s="8">
        <v>-1329.95</v>
      </c>
      <c r="F20" s="8">
        <v>-1329.7</v>
      </c>
      <c r="G20" s="8">
        <v>29.0</v>
      </c>
      <c r="H20" s="8">
        <v>2.407911</v>
      </c>
      <c r="I20" s="8">
        <v>-16.1861</v>
      </c>
      <c r="J20" s="8">
        <v>-16.7997</v>
      </c>
      <c r="K20" s="8">
        <v>-16.7774</v>
      </c>
      <c r="L20" s="8">
        <v>-16.8781</v>
      </c>
      <c r="M20" s="8">
        <v>-16.7644</v>
      </c>
      <c r="N20" s="8">
        <v>22.0</v>
      </c>
      <c r="O20" s="8">
        <v>6.005233</v>
      </c>
      <c r="P20" s="8">
        <v>-829.23</v>
      </c>
      <c r="Q20" s="8">
        <v>-836.481</v>
      </c>
      <c r="R20" s="8">
        <v>-837.393</v>
      </c>
      <c r="S20" s="8">
        <v>-837.571</v>
      </c>
      <c r="T20" s="8">
        <v>-837.471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8">
        <v>5.0</v>
      </c>
      <c r="AC20" s="8">
        <v>0.474525</v>
      </c>
      <c r="AD20" s="8">
        <v>-372.609</v>
      </c>
      <c r="AE20" s="8">
        <v>-375.036</v>
      </c>
      <c r="AF20" s="8">
        <v>-375.319</v>
      </c>
      <c r="AG20" s="8">
        <v>-375.36</v>
      </c>
      <c r="AH20" s="8">
        <v>-375.326</v>
      </c>
      <c r="AI20" s="8">
        <v>1.0</v>
      </c>
      <c r="AJ20" s="8">
        <v>0.030238</v>
      </c>
      <c r="AK20" s="8">
        <v>-99.0048</v>
      </c>
      <c r="AL20" s="8">
        <v>-99.5677</v>
      </c>
      <c r="AM20" s="8">
        <v>-99.6345</v>
      </c>
      <c r="AN20" s="8">
        <v>-99.6441</v>
      </c>
      <c r="AO20" s="8">
        <v>-99.6361</v>
      </c>
      <c r="AP20" s="8">
        <v>0.0</v>
      </c>
      <c r="AQ20" s="8">
        <v>0.0</v>
      </c>
      <c r="AR20" s="8">
        <v>0.0</v>
      </c>
      <c r="AS20" s="8">
        <v>0.0</v>
      </c>
      <c r="AT20" s="8">
        <v>0.0</v>
      </c>
      <c r="AU20" s="8">
        <v>0.0</v>
      </c>
      <c r="AV20" s="8">
        <v>0.0</v>
      </c>
      <c r="AW20" s="8">
        <v>-2.16074</v>
      </c>
      <c r="AX20" s="8">
        <v>-0.7857</v>
      </c>
      <c r="AY20" s="8">
        <v>-0.34372</v>
      </c>
      <c r="AZ20" s="8">
        <v>-0.50038</v>
      </c>
      <c r="BA20" s="8">
        <v>-0.50692</v>
      </c>
    </row>
    <row r="21">
      <c r="A21" s="7" t="s">
        <v>23</v>
      </c>
      <c r="B21" s="8">
        <v>-1180.59</v>
      </c>
      <c r="C21" s="8">
        <v>-1189.23</v>
      </c>
      <c r="D21" s="8">
        <v>-1189.94</v>
      </c>
      <c r="E21" s="8">
        <v>-1190.38</v>
      </c>
      <c r="F21" s="8">
        <v>-1190.16</v>
      </c>
      <c r="G21" s="8">
        <v>26.0</v>
      </c>
      <c r="H21" s="8">
        <v>2.158817</v>
      </c>
      <c r="I21" s="8">
        <v>-14.5116</v>
      </c>
      <c r="J21" s="8">
        <v>-15.0618</v>
      </c>
      <c r="K21" s="8">
        <v>-15.0418</v>
      </c>
      <c r="L21" s="8">
        <v>-15.1321</v>
      </c>
      <c r="M21" s="8">
        <v>-15.0302</v>
      </c>
      <c r="N21" s="8">
        <v>21.0</v>
      </c>
      <c r="O21" s="8">
        <v>5.732268</v>
      </c>
      <c r="P21" s="8">
        <v>-791.537</v>
      </c>
      <c r="Q21" s="8">
        <v>-798.459</v>
      </c>
      <c r="R21" s="8">
        <v>-799.33</v>
      </c>
      <c r="S21" s="8">
        <v>-799.499</v>
      </c>
      <c r="T21" s="8">
        <v>-799.404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v>5.0</v>
      </c>
      <c r="AC21" s="8">
        <v>0.474525</v>
      </c>
      <c r="AD21" s="8">
        <v>-372.609</v>
      </c>
      <c r="AE21" s="8">
        <v>-375.036</v>
      </c>
      <c r="AF21" s="8">
        <v>-375.319</v>
      </c>
      <c r="AG21" s="8">
        <v>-375.36</v>
      </c>
      <c r="AH21" s="8">
        <v>-375.326</v>
      </c>
      <c r="AI21" s="8">
        <v>0.0</v>
      </c>
      <c r="AJ21" s="8">
        <v>0.0</v>
      </c>
      <c r="AK21" s="8">
        <v>0.0</v>
      </c>
      <c r="AL21" s="8">
        <v>0.0</v>
      </c>
      <c r="AM21" s="8">
        <v>0.0</v>
      </c>
      <c r="AN21" s="8">
        <v>0.0</v>
      </c>
      <c r="AO21" s="8">
        <v>0.0</v>
      </c>
      <c r="AP21" s="8">
        <v>0.0</v>
      </c>
      <c r="AQ21" s="8">
        <v>0.0</v>
      </c>
      <c r="AR21" s="8">
        <v>0.0</v>
      </c>
      <c r="AS21" s="8">
        <v>0.0</v>
      </c>
      <c r="AT21" s="8">
        <v>0.0</v>
      </c>
      <c r="AU21" s="8">
        <v>0.0</v>
      </c>
      <c r="AV21" s="8">
        <v>0.0</v>
      </c>
      <c r="AW21" s="8">
        <v>-1.93286</v>
      </c>
      <c r="AX21" s="8">
        <v>-0.6708</v>
      </c>
      <c r="AY21" s="8">
        <v>-0.2483</v>
      </c>
      <c r="AZ21" s="8">
        <v>-0.39094</v>
      </c>
      <c r="BA21" s="8">
        <v>-0.39543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</v>
      </c>
      <c r="B1" s="14" t="s">
        <v>220</v>
      </c>
      <c r="C1" s="15" t="s">
        <v>221</v>
      </c>
    </row>
    <row r="2">
      <c r="A2" s="16" t="s">
        <v>2</v>
      </c>
      <c r="B2" s="17">
        <v>-74.89359999999999</v>
      </c>
      <c r="C2" s="9">
        <f t="shared" ref="C2:C21" si="1">B2/2625.5</f>
        <v>-0.02852546182</v>
      </c>
    </row>
    <row r="3">
      <c r="A3" s="16" t="s">
        <v>4</v>
      </c>
      <c r="B3" s="17">
        <v>-84.01472</v>
      </c>
      <c r="C3" s="9">
        <f t="shared" si="1"/>
        <v>-0.03199951247</v>
      </c>
    </row>
    <row r="4">
      <c r="A4" s="16" t="s">
        <v>6</v>
      </c>
      <c r="B4" s="17">
        <v>-104.60000000000001</v>
      </c>
      <c r="C4" s="9">
        <f t="shared" si="1"/>
        <v>-0.03984003047</v>
      </c>
    </row>
    <row r="5">
      <c r="A5" s="16" t="s">
        <v>7</v>
      </c>
      <c r="B5" s="17">
        <v>-125.52000000000001</v>
      </c>
      <c r="C5" s="9">
        <f t="shared" si="1"/>
        <v>-0.04780803656</v>
      </c>
    </row>
    <row r="6">
      <c r="A6" s="16" t="s">
        <v>8</v>
      </c>
      <c r="B6" s="17">
        <v>-146.90024</v>
      </c>
      <c r="C6" s="9">
        <f t="shared" si="1"/>
        <v>-0.05595133879</v>
      </c>
    </row>
    <row r="7">
      <c r="A7" s="16" t="s">
        <v>9</v>
      </c>
      <c r="B7" s="17">
        <v>-167.10896</v>
      </c>
      <c r="C7" s="9">
        <f t="shared" si="1"/>
        <v>-0.06364843268</v>
      </c>
    </row>
    <row r="8">
      <c r="A8" s="16" t="s">
        <v>10</v>
      </c>
      <c r="B8" s="17">
        <v>-187.69424</v>
      </c>
      <c r="C8" s="9">
        <f t="shared" si="1"/>
        <v>-0.07148895068</v>
      </c>
    </row>
    <row r="9">
      <c r="A9" s="16" t="s">
        <v>11</v>
      </c>
      <c r="B9" s="17">
        <v>-208.61424</v>
      </c>
      <c r="C9" s="9">
        <f t="shared" si="1"/>
        <v>-0.07945695677</v>
      </c>
    </row>
    <row r="10">
      <c r="A10" s="16" t="s">
        <v>12</v>
      </c>
      <c r="B10" s="17">
        <v>-228.19536</v>
      </c>
      <c r="C10" s="9">
        <f t="shared" si="1"/>
        <v>-0.08691501047</v>
      </c>
    </row>
    <row r="11">
      <c r="A11" s="16" t="s">
        <v>13</v>
      </c>
      <c r="B11" s="16">
        <v>31.01</v>
      </c>
      <c r="C11" s="9">
        <f t="shared" si="1"/>
        <v>0.0118110836</v>
      </c>
    </row>
    <row r="12">
      <c r="A12" s="16" t="s">
        <v>14</v>
      </c>
      <c r="B12" s="16">
        <v>22.53</v>
      </c>
      <c r="C12" s="9">
        <f t="shared" si="1"/>
        <v>0.008581222624</v>
      </c>
    </row>
    <row r="13">
      <c r="A13" s="16" t="s">
        <v>15</v>
      </c>
      <c r="B13" s="16">
        <v>-340.6</v>
      </c>
      <c r="C13" s="9">
        <f t="shared" si="1"/>
        <v>-0.1297276709</v>
      </c>
    </row>
    <row r="14">
      <c r="A14" s="16" t="s">
        <v>16</v>
      </c>
      <c r="B14" s="16">
        <v>-276.0</v>
      </c>
      <c r="C14" s="9">
        <f t="shared" si="1"/>
        <v>-0.1051228337</v>
      </c>
    </row>
    <row r="15">
      <c r="A15" s="16" t="s">
        <v>17</v>
      </c>
      <c r="B15" s="17">
        <v>108.3656</v>
      </c>
      <c r="C15" s="9">
        <f t="shared" si="1"/>
        <v>0.04127427157</v>
      </c>
    </row>
    <row r="16">
      <c r="A16" s="16" t="s">
        <v>18</v>
      </c>
      <c r="B16" s="16">
        <v>27.6</v>
      </c>
      <c r="C16" s="9">
        <f t="shared" si="1"/>
        <v>0.01051228337</v>
      </c>
    </row>
    <row r="17">
      <c r="A17" s="16" t="s">
        <v>19</v>
      </c>
      <c r="B17" s="16">
        <v>25.0</v>
      </c>
      <c r="C17" s="9">
        <f t="shared" si="1"/>
        <v>0.00952199581</v>
      </c>
    </row>
    <row r="18">
      <c r="A18" s="16" t="s">
        <v>20</v>
      </c>
      <c r="B18" s="16">
        <v>18.7</v>
      </c>
      <c r="C18" s="9">
        <f t="shared" si="1"/>
        <v>0.007122452866</v>
      </c>
    </row>
    <row r="19">
      <c r="A19" s="16" t="s">
        <v>21</v>
      </c>
      <c r="B19" s="17">
        <v>33.9</v>
      </c>
      <c r="C19" s="9">
        <f t="shared" si="1"/>
        <v>0.01291182632</v>
      </c>
    </row>
    <row r="20">
      <c r="A20" s="16" t="s">
        <v>22</v>
      </c>
      <c r="B20" s="16">
        <v>42.04</v>
      </c>
      <c r="C20" s="9">
        <f t="shared" si="1"/>
        <v>0.01601218815</v>
      </c>
    </row>
    <row r="21">
      <c r="A21" s="16" t="s">
        <v>23</v>
      </c>
      <c r="B21" s="17">
        <v>37.8320754</v>
      </c>
      <c r="C21" s="9">
        <f t="shared" si="1"/>
        <v>0.01440947454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2" max="2" width="17.25"/>
    <col customWidth="1" min="3" max="3" width="18.25"/>
    <col customWidth="1" min="4" max="4" width="18.38"/>
    <col customWidth="1" min="5" max="5" width="20.13"/>
    <col customWidth="1" min="6" max="6" width="21.88"/>
    <col customWidth="1" min="7" max="7" width="20.88"/>
    <col customWidth="1" min="8" max="8" width="17.25"/>
    <col customWidth="1" min="9" max="9" width="17.63"/>
    <col customWidth="1" min="10" max="10" width="19.38"/>
    <col customWidth="1" min="11" max="11" width="21.13"/>
    <col customWidth="1" min="12" max="12" width="20.13"/>
    <col customWidth="1" min="13" max="14" width="9.75"/>
    <col customWidth="1" min="15" max="15" width="10.13"/>
    <col customWidth="1" min="16" max="16" width="11.88"/>
    <col customWidth="1" min="17" max="17" width="10.88"/>
  </cols>
  <sheetData>
    <row r="1">
      <c r="A1" s="14" t="s">
        <v>1</v>
      </c>
      <c r="B1" s="14" t="s">
        <v>220</v>
      </c>
      <c r="C1" s="18" t="s">
        <v>222</v>
      </c>
      <c r="D1" s="19" t="s">
        <v>223</v>
      </c>
      <c r="E1" s="19" t="s">
        <v>224</v>
      </c>
      <c r="F1" s="19" t="s">
        <v>225</v>
      </c>
      <c r="G1" s="19" t="s">
        <v>226</v>
      </c>
      <c r="H1" s="20" t="s">
        <v>227</v>
      </c>
      <c r="I1" s="21" t="s">
        <v>228</v>
      </c>
      <c r="J1" s="21" t="s">
        <v>229</v>
      </c>
      <c r="K1" s="21" t="s">
        <v>230</v>
      </c>
      <c r="L1" s="21" t="s">
        <v>231</v>
      </c>
      <c r="M1" s="22" t="s">
        <v>232</v>
      </c>
      <c r="N1" s="23" t="s">
        <v>233</v>
      </c>
      <c r="O1" s="23" t="s">
        <v>234</v>
      </c>
      <c r="P1" s="23" t="s">
        <v>235</v>
      </c>
      <c r="Q1" s="23" t="s">
        <v>236</v>
      </c>
    </row>
    <row r="2">
      <c r="A2" s="16" t="s">
        <v>2</v>
      </c>
      <c r="B2" s="17">
        <v>-74.89359999999999</v>
      </c>
      <c r="C2" s="8">
        <v>-0.09723</v>
      </c>
      <c r="D2" s="8">
        <v>-0.0289</v>
      </c>
      <c r="E2" s="8">
        <v>-0.02628</v>
      </c>
      <c r="F2" s="8">
        <v>-0.02549</v>
      </c>
      <c r="G2" s="8">
        <v>-0.02239</v>
      </c>
      <c r="H2" s="17">
        <f t="shared" ref="H2:L2" si="1">C2*2625.5</f>
        <v>-255.277365</v>
      </c>
      <c r="I2" s="17">
        <f t="shared" si="1"/>
        <v>-75.87695</v>
      </c>
      <c r="J2" s="17">
        <f t="shared" si="1"/>
        <v>-68.99814</v>
      </c>
      <c r="K2" s="17">
        <f t="shared" si="1"/>
        <v>-66.923995</v>
      </c>
      <c r="L2" s="17">
        <f t="shared" si="1"/>
        <v>-58.784945</v>
      </c>
      <c r="M2" s="17">
        <f t="shared" ref="M2:Q2" si="2">ABS(H2-$B2)/2</f>
        <v>90.1918825</v>
      </c>
      <c r="N2" s="17">
        <f t="shared" si="2"/>
        <v>0.491675</v>
      </c>
      <c r="O2" s="17">
        <f t="shared" si="2"/>
        <v>2.94773</v>
      </c>
      <c r="P2" s="17">
        <f t="shared" si="2"/>
        <v>3.9848025</v>
      </c>
      <c r="Q2" s="17">
        <f t="shared" si="2"/>
        <v>8.0543275</v>
      </c>
      <c r="S2" s="24"/>
      <c r="T2" s="24"/>
      <c r="U2" s="24"/>
      <c r="V2" s="24"/>
      <c r="W2" s="24"/>
    </row>
    <row r="3">
      <c r="A3" s="16" t="s">
        <v>4</v>
      </c>
      <c r="B3" s="17">
        <v>-84.01472</v>
      </c>
      <c r="C3" s="8">
        <v>-0.16973</v>
      </c>
      <c r="D3" s="8">
        <v>-0.0454</v>
      </c>
      <c r="E3" s="8">
        <v>-0.03025</v>
      </c>
      <c r="F3" s="8">
        <v>-0.03366</v>
      </c>
      <c r="G3" s="8">
        <v>-0.029</v>
      </c>
      <c r="H3" s="17">
        <f t="shared" ref="H3:L3" si="3">C3*2625.5</f>
        <v>-445.626115</v>
      </c>
      <c r="I3" s="17">
        <f t="shared" si="3"/>
        <v>-119.1977</v>
      </c>
      <c r="J3" s="17">
        <f t="shared" si="3"/>
        <v>-79.421375</v>
      </c>
      <c r="K3" s="17">
        <f t="shared" si="3"/>
        <v>-88.37433</v>
      </c>
      <c r="L3" s="17">
        <f t="shared" si="3"/>
        <v>-76.1395</v>
      </c>
      <c r="M3" s="17">
        <f t="shared" ref="M3:Q3" si="4">ABS(H3-$B3)/2</f>
        <v>180.8056975</v>
      </c>
      <c r="N3" s="17">
        <f t="shared" si="4"/>
        <v>17.59149</v>
      </c>
      <c r="O3" s="17">
        <f t="shared" si="4"/>
        <v>2.2966725</v>
      </c>
      <c r="P3" s="17">
        <f t="shared" si="4"/>
        <v>2.179805</v>
      </c>
      <c r="Q3" s="17">
        <f t="shared" si="4"/>
        <v>3.93761</v>
      </c>
      <c r="S3" s="24"/>
      <c r="T3" s="24"/>
      <c r="U3" s="24"/>
      <c r="V3" s="24"/>
      <c r="W3" s="24"/>
    </row>
    <row r="4">
      <c r="A4" s="16" t="s">
        <v>6</v>
      </c>
      <c r="B4" s="17">
        <v>-104.60000000000001</v>
      </c>
      <c r="C4" s="8">
        <v>-0.24668</v>
      </c>
      <c r="D4" s="8">
        <v>-0.06478</v>
      </c>
      <c r="E4" s="8">
        <v>-0.03673</v>
      </c>
      <c r="F4" s="8">
        <v>-0.04512</v>
      </c>
      <c r="G4" s="8">
        <v>-0.0394</v>
      </c>
      <c r="H4" s="17">
        <f t="shared" ref="H4:L4" si="5">C4*2625.5</f>
        <v>-647.65834</v>
      </c>
      <c r="I4" s="17">
        <f t="shared" si="5"/>
        <v>-170.07989</v>
      </c>
      <c r="J4" s="17">
        <f t="shared" si="5"/>
        <v>-96.434615</v>
      </c>
      <c r="K4" s="17">
        <f t="shared" si="5"/>
        <v>-118.46256</v>
      </c>
      <c r="L4" s="17">
        <f t="shared" si="5"/>
        <v>-103.4447</v>
      </c>
      <c r="M4" s="17">
        <f t="shared" ref="M4:Q4" si="6">ABS(H4-$B4)/2</f>
        <v>271.52917</v>
      </c>
      <c r="N4" s="17">
        <f t="shared" si="6"/>
        <v>32.739945</v>
      </c>
      <c r="O4" s="17">
        <f t="shared" si="6"/>
        <v>4.0826925</v>
      </c>
      <c r="P4" s="17">
        <f t="shared" si="6"/>
        <v>6.93128</v>
      </c>
      <c r="Q4" s="17">
        <f t="shared" si="6"/>
        <v>0.57765</v>
      </c>
      <c r="S4" s="24"/>
      <c r="T4" s="24"/>
      <c r="U4" s="24"/>
      <c r="V4" s="24"/>
      <c r="W4" s="24"/>
    </row>
    <row r="5">
      <c r="A5" s="16" t="s">
        <v>7</v>
      </c>
      <c r="B5" s="17">
        <v>-125.52000000000001</v>
      </c>
      <c r="C5" s="8">
        <v>-0.32365</v>
      </c>
      <c r="D5" s="8">
        <v>-0.08405</v>
      </c>
      <c r="E5" s="8">
        <v>-0.04309</v>
      </c>
      <c r="F5" s="8">
        <v>-0.05659</v>
      </c>
      <c r="G5" s="8">
        <v>-0.04982</v>
      </c>
      <c r="H5" s="17">
        <f t="shared" ref="H5:L5" si="7">C5*2625.5</f>
        <v>-849.743075</v>
      </c>
      <c r="I5" s="17">
        <f t="shared" si="7"/>
        <v>-220.673275</v>
      </c>
      <c r="J5" s="17">
        <f t="shared" si="7"/>
        <v>-113.132795</v>
      </c>
      <c r="K5" s="17">
        <f t="shared" si="7"/>
        <v>-148.577045</v>
      </c>
      <c r="L5" s="17">
        <f t="shared" si="7"/>
        <v>-130.80241</v>
      </c>
      <c r="M5" s="17">
        <f t="shared" ref="M5:Q5" si="8">ABS(H5-$B5)/2</f>
        <v>362.1115375</v>
      </c>
      <c r="N5" s="17">
        <f t="shared" si="8"/>
        <v>47.5766375</v>
      </c>
      <c r="O5" s="17">
        <f t="shared" si="8"/>
        <v>6.1936025</v>
      </c>
      <c r="P5" s="17">
        <f t="shared" si="8"/>
        <v>11.5285225</v>
      </c>
      <c r="Q5" s="17">
        <f t="shared" si="8"/>
        <v>2.641205</v>
      </c>
      <c r="S5" s="24"/>
      <c r="T5" s="24"/>
      <c r="U5" s="24"/>
      <c r="V5" s="24"/>
      <c r="W5" s="24"/>
    </row>
    <row r="6">
      <c r="A6" s="16" t="s">
        <v>8</v>
      </c>
      <c r="B6" s="17">
        <v>-146.90024</v>
      </c>
      <c r="C6" s="8">
        <v>-0.40057</v>
      </c>
      <c r="D6" s="8">
        <v>-0.1033</v>
      </c>
      <c r="E6" s="8">
        <v>-0.0494</v>
      </c>
      <c r="F6" s="8">
        <v>-0.06814</v>
      </c>
      <c r="G6" s="8">
        <v>-0.06014</v>
      </c>
      <c r="H6" s="17">
        <f t="shared" ref="H6:L6" si="9">C6*2625.5</f>
        <v>-1051.696535</v>
      </c>
      <c r="I6" s="17">
        <f t="shared" si="9"/>
        <v>-271.21415</v>
      </c>
      <c r="J6" s="17">
        <f t="shared" si="9"/>
        <v>-129.6997</v>
      </c>
      <c r="K6" s="17">
        <f t="shared" si="9"/>
        <v>-178.90157</v>
      </c>
      <c r="L6" s="17">
        <f t="shared" si="9"/>
        <v>-157.89757</v>
      </c>
      <c r="M6" s="17">
        <f t="shared" ref="M6:Q6" si="10">ABS(H6-$B6)/2</f>
        <v>452.3981475</v>
      </c>
      <c r="N6" s="17">
        <f t="shared" si="10"/>
        <v>62.156955</v>
      </c>
      <c r="O6" s="17">
        <f t="shared" si="10"/>
        <v>8.60027</v>
      </c>
      <c r="P6" s="17">
        <f t="shared" si="10"/>
        <v>16.000665</v>
      </c>
      <c r="Q6" s="17">
        <f t="shared" si="10"/>
        <v>5.498665</v>
      </c>
      <c r="S6" s="24"/>
      <c r="T6" s="24"/>
      <c r="U6" s="24"/>
      <c r="V6" s="24"/>
      <c r="W6" s="24"/>
    </row>
    <row r="7">
      <c r="A7" s="16" t="s">
        <v>9</v>
      </c>
      <c r="B7" s="17">
        <v>-167.10896</v>
      </c>
      <c r="C7" s="8">
        <v>-0.47743</v>
      </c>
      <c r="D7" s="8">
        <v>-0.12249</v>
      </c>
      <c r="E7" s="8">
        <v>-0.05569</v>
      </c>
      <c r="F7" s="8">
        <v>-0.07962</v>
      </c>
      <c r="G7" s="8">
        <v>-0.07043</v>
      </c>
      <c r="H7" s="17">
        <f t="shared" ref="H7:L7" si="11">C7*2625.5</f>
        <v>-1253.492465</v>
      </c>
      <c r="I7" s="17">
        <f t="shared" si="11"/>
        <v>-321.597495</v>
      </c>
      <c r="J7" s="17">
        <f t="shared" si="11"/>
        <v>-146.214095</v>
      </c>
      <c r="K7" s="17">
        <f t="shared" si="11"/>
        <v>-209.04231</v>
      </c>
      <c r="L7" s="17">
        <f t="shared" si="11"/>
        <v>-184.913965</v>
      </c>
      <c r="M7" s="17">
        <f t="shared" ref="M7:Q7" si="12">ABS(H7-$B7)/2</f>
        <v>543.1917525</v>
      </c>
      <c r="N7" s="17">
        <f t="shared" si="12"/>
        <v>77.2442675</v>
      </c>
      <c r="O7" s="17">
        <f t="shared" si="12"/>
        <v>10.4474325</v>
      </c>
      <c r="P7" s="17">
        <f t="shared" si="12"/>
        <v>20.966675</v>
      </c>
      <c r="Q7" s="17">
        <f t="shared" si="12"/>
        <v>8.9025025</v>
      </c>
      <c r="S7" s="24"/>
      <c r="T7" s="24"/>
      <c r="U7" s="24"/>
      <c r="V7" s="24"/>
      <c r="W7" s="24"/>
    </row>
    <row r="8">
      <c r="A8" s="16" t="s">
        <v>10</v>
      </c>
      <c r="B8" s="17">
        <v>-187.69424</v>
      </c>
      <c r="C8" s="8">
        <v>-0.55434</v>
      </c>
      <c r="D8" s="8">
        <v>-0.14172</v>
      </c>
      <c r="E8" s="8">
        <v>-0.06198</v>
      </c>
      <c r="F8" s="8">
        <v>-0.09117</v>
      </c>
      <c r="G8" s="8">
        <v>-0.0808</v>
      </c>
      <c r="H8" s="17">
        <f t="shared" ref="H8:L8" si="13">C8*2625.5</f>
        <v>-1455.41967</v>
      </c>
      <c r="I8" s="17">
        <f t="shared" si="13"/>
        <v>-372.08586</v>
      </c>
      <c r="J8" s="17">
        <f t="shared" si="13"/>
        <v>-162.72849</v>
      </c>
      <c r="K8" s="17">
        <f t="shared" si="13"/>
        <v>-239.366835</v>
      </c>
      <c r="L8" s="17">
        <f t="shared" si="13"/>
        <v>-212.1404</v>
      </c>
      <c r="M8" s="17">
        <f t="shared" ref="M8:Q8" si="14">ABS(H8-$B8)/2</f>
        <v>633.862715</v>
      </c>
      <c r="N8" s="17">
        <f t="shared" si="14"/>
        <v>92.19581</v>
      </c>
      <c r="O8" s="17">
        <f t="shared" si="14"/>
        <v>12.482875</v>
      </c>
      <c r="P8" s="17">
        <f t="shared" si="14"/>
        <v>25.8362975</v>
      </c>
      <c r="Q8" s="17">
        <f t="shared" si="14"/>
        <v>12.22308</v>
      </c>
      <c r="S8" s="24"/>
      <c r="T8" s="24"/>
      <c r="U8" s="24"/>
      <c r="V8" s="24"/>
      <c r="W8" s="24"/>
    </row>
    <row r="9">
      <c r="A9" s="16" t="s">
        <v>11</v>
      </c>
      <c r="B9" s="17">
        <v>-208.61424</v>
      </c>
      <c r="C9" s="8">
        <v>-0.6312</v>
      </c>
      <c r="D9" s="8">
        <v>-0.16091</v>
      </c>
      <c r="E9" s="8">
        <v>-0.06827</v>
      </c>
      <c r="F9" s="8">
        <v>-0.10266</v>
      </c>
      <c r="G9" s="8">
        <v>-0.0911</v>
      </c>
      <c r="H9" s="17">
        <f t="shared" ref="H9:L9" si="15">C9*2625.5</f>
        <v>-1657.2156</v>
      </c>
      <c r="I9" s="17">
        <f t="shared" si="15"/>
        <v>-422.469205</v>
      </c>
      <c r="J9" s="17">
        <f t="shared" si="15"/>
        <v>-179.242885</v>
      </c>
      <c r="K9" s="17">
        <f t="shared" si="15"/>
        <v>-269.53383</v>
      </c>
      <c r="L9" s="17">
        <f t="shared" si="15"/>
        <v>-239.18305</v>
      </c>
      <c r="M9" s="17">
        <f t="shared" ref="M9:Q9" si="16">ABS(H9-$B9)/2</f>
        <v>724.30068</v>
      </c>
      <c r="N9" s="17">
        <f t="shared" si="16"/>
        <v>106.9274825</v>
      </c>
      <c r="O9" s="17">
        <f t="shared" si="16"/>
        <v>14.6856775</v>
      </c>
      <c r="P9" s="17">
        <f t="shared" si="16"/>
        <v>30.459795</v>
      </c>
      <c r="Q9" s="17">
        <f t="shared" si="16"/>
        <v>15.284405</v>
      </c>
      <c r="S9" s="24"/>
      <c r="T9" s="24"/>
      <c r="U9" s="24"/>
      <c r="V9" s="24"/>
      <c r="W9" s="24"/>
    </row>
    <row r="10">
      <c r="A10" s="16" t="s">
        <v>12</v>
      </c>
      <c r="B10" s="17">
        <v>-228.19536</v>
      </c>
      <c r="C10" s="8">
        <v>-0.70809</v>
      </c>
      <c r="D10" s="8">
        <v>-0.18013</v>
      </c>
      <c r="E10" s="8">
        <v>-0.07456</v>
      </c>
      <c r="F10" s="8">
        <v>-0.11419</v>
      </c>
      <c r="G10" s="8">
        <v>-0.10145</v>
      </c>
      <c r="H10" s="17">
        <f t="shared" ref="H10:L10" si="17">C10*2625.5</f>
        <v>-1859.090295</v>
      </c>
      <c r="I10" s="17">
        <f t="shared" si="17"/>
        <v>-472.931315</v>
      </c>
      <c r="J10" s="17">
        <f t="shared" si="17"/>
        <v>-195.75728</v>
      </c>
      <c r="K10" s="17">
        <f t="shared" si="17"/>
        <v>-299.805845</v>
      </c>
      <c r="L10" s="17">
        <f t="shared" si="17"/>
        <v>-266.356975</v>
      </c>
      <c r="M10" s="17">
        <f t="shared" ref="M10:Q10" si="18">ABS(H10-$B10)/2</f>
        <v>815.4474675</v>
      </c>
      <c r="N10" s="17">
        <f t="shared" si="18"/>
        <v>122.3679775</v>
      </c>
      <c r="O10" s="17">
        <f t="shared" si="18"/>
        <v>16.21904</v>
      </c>
      <c r="P10" s="17">
        <f t="shared" si="18"/>
        <v>35.8052425</v>
      </c>
      <c r="Q10" s="17">
        <f t="shared" si="18"/>
        <v>19.0808075</v>
      </c>
      <c r="S10" s="24"/>
      <c r="T10" s="24"/>
      <c r="U10" s="24"/>
      <c r="V10" s="24"/>
      <c r="W10" s="24"/>
    </row>
    <row r="11">
      <c r="A11" s="16" t="s">
        <v>13</v>
      </c>
      <c r="B11" s="16">
        <v>31.01</v>
      </c>
      <c r="C11" s="8">
        <v>-1.01864</v>
      </c>
      <c r="D11" s="8">
        <v>-0.46739</v>
      </c>
      <c r="E11" s="8">
        <v>-0.2558</v>
      </c>
      <c r="F11" s="8">
        <v>-0.29503</v>
      </c>
      <c r="G11" s="8">
        <v>-0.30736</v>
      </c>
      <c r="H11" s="17">
        <f t="shared" ref="H11:L11" si="19">C11*2625.5</f>
        <v>-2674.43932</v>
      </c>
      <c r="I11" s="17">
        <f t="shared" si="19"/>
        <v>-1227.132445</v>
      </c>
      <c r="J11" s="17">
        <f t="shared" si="19"/>
        <v>-671.6029</v>
      </c>
      <c r="K11" s="17">
        <f t="shared" si="19"/>
        <v>-774.601265</v>
      </c>
      <c r="L11" s="17">
        <f t="shared" si="19"/>
        <v>-806.97368</v>
      </c>
      <c r="M11" s="17">
        <f t="shared" ref="M11:Q11" si="20">ABS(H11-$B11)/2</f>
        <v>1352.72466</v>
      </c>
      <c r="N11" s="17">
        <f t="shared" si="20"/>
        <v>629.0712225</v>
      </c>
      <c r="O11" s="17">
        <f t="shared" si="20"/>
        <v>351.30645</v>
      </c>
      <c r="P11" s="17">
        <f t="shared" si="20"/>
        <v>402.8056325</v>
      </c>
      <c r="Q11" s="17">
        <f t="shared" si="20"/>
        <v>418.99184</v>
      </c>
      <c r="S11" s="24"/>
      <c r="T11" s="24"/>
      <c r="U11" s="24"/>
      <c r="V11" s="24"/>
      <c r="W11" s="24"/>
    </row>
    <row r="12">
      <c r="A12" s="16" t="s">
        <v>14</v>
      </c>
      <c r="B12" s="16">
        <v>22.53</v>
      </c>
      <c r="C12" s="8">
        <v>-0.65492</v>
      </c>
      <c r="D12" s="8">
        <v>-0.07884</v>
      </c>
      <c r="E12" s="8">
        <v>0.150444</v>
      </c>
      <c r="F12" s="8">
        <v>0.11983</v>
      </c>
      <c r="G12" s="8">
        <v>0.10907</v>
      </c>
      <c r="H12" s="17">
        <f t="shared" ref="H12:L12" si="21">C12*2625.5</f>
        <v>-1719.49246</v>
      </c>
      <c r="I12" s="17">
        <f t="shared" si="21"/>
        <v>-206.99442</v>
      </c>
      <c r="J12" s="17">
        <f t="shared" si="21"/>
        <v>394.990722</v>
      </c>
      <c r="K12" s="17">
        <f t="shared" si="21"/>
        <v>314.613665</v>
      </c>
      <c r="L12" s="17">
        <f t="shared" si="21"/>
        <v>286.363285</v>
      </c>
      <c r="M12" s="17">
        <f t="shared" ref="M12:Q12" si="22">ABS(H12-$B12)/2</f>
        <v>871.01123</v>
      </c>
      <c r="N12" s="17">
        <f t="shared" si="22"/>
        <v>114.76221</v>
      </c>
      <c r="O12" s="17">
        <f t="shared" si="22"/>
        <v>186.230361</v>
      </c>
      <c r="P12" s="17">
        <f t="shared" si="22"/>
        <v>146.0418325</v>
      </c>
      <c r="Q12" s="17">
        <f t="shared" si="22"/>
        <v>131.9166425</v>
      </c>
      <c r="S12" s="24"/>
      <c r="T12" s="24"/>
      <c r="U12" s="24"/>
      <c r="V12" s="24"/>
      <c r="W12" s="24"/>
    </row>
    <row r="13">
      <c r="A13" s="16" t="s">
        <v>15</v>
      </c>
      <c r="B13" s="16">
        <v>-340.6</v>
      </c>
      <c r="C13" s="8">
        <v>-0.97275</v>
      </c>
      <c r="D13" s="8">
        <v>-0.35691</v>
      </c>
      <c r="E13" s="8">
        <v>-0.12325</v>
      </c>
      <c r="F13" s="8">
        <v>-0.16092</v>
      </c>
      <c r="G13" s="8">
        <v>-0.16105</v>
      </c>
      <c r="H13" s="17">
        <f t="shared" ref="H13:L13" si="23">C13*2625.5</f>
        <v>-2553.955125</v>
      </c>
      <c r="I13" s="17">
        <f t="shared" si="23"/>
        <v>-937.067205</v>
      </c>
      <c r="J13" s="17">
        <f t="shared" si="23"/>
        <v>-323.592875</v>
      </c>
      <c r="K13" s="17">
        <f t="shared" si="23"/>
        <v>-422.49546</v>
      </c>
      <c r="L13" s="17">
        <f t="shared" si="23"/>
        <v>-422.836775</v>
      </c>
      <c r="M13" s="17">
        <f t="shared" ref="M13:Q13" si="24">ABS(H13-$B13)/2</f>
        <v>1106.677563</v>
      </c>
      <c r="N13" s="17">
        <f t="shared" si="24"/>
        <v>298.2336025</v>
      </c>
      <c r="O13" s="17">
        <f t="shared" si="24"/>
        <v>8.5035625</v>
      </c>
      <c r="P13" s="17">
        <f t="shared" si="24"/>
        <v>40.94773</v>
      </c>
      <c r="Q13" s="17">
        <f t="shared" si="24"/>
        <v>41.1183875</v>
      </c>
      <c r="S13" s="24"/>
      <c r="T13" s="24"/>
      <c r="U13" s="24"/>
      <c r="V13" s="24"/>
      <c r="W13" s="24"/>
    </row>
    <row r="14">
      <c r="A14" s="16" t="s">
        <v>16</v>
      </c>
      <c r="B14" s="16">
        <v>-276.0</v>
      </c>
      <c r="C14" s="8">
        <v>-0.27818</v>
      </c>
      <c r="D14" s="8">
        <v>-0.11364</v>
      </c>
      <c r="E14" s="8">
        <v>-0.08195</v>
      </c>
      <c r="F14" s="8">
        <v>-0.08854</v>
      </c>
      <c r="G14" s="8">
        <v>-0.08689</v>
      </c>
      <c r="H14" s="17">
        <f t="shared" ref="H14:L14" si="25">C14*2625.5</f>
        <v>-730.36159</v>
      </c>
      <c r="I14" s="17">
        <f t="shared" si="25"/>
        <v>-298.36182</v>
      </c>
      <c r="J14" s="17">
        <f t="shared" si="25"/>
        <v>-215.159725</v>
      </c>
      <c r="K14" s="17">
        <f t="shared" si="25"/>
        <v>-232.46177</v>
      </c>
      <c r="L14" s="17">
        <f t="shared" si="25"/>
        <v>-228.129695</v>
      </c>
      <c r="M14" s="17">
        <f t="shared" ref="M14:Q14" si="26">ABS(H14-$B14)/2</f>
        <v>227.180795</v>
      </c>
      <c r="N14" s="17">
        <f t="shared" si="26"/>
        <v>11.18091</v>
      </c>
      <c r="O14" s="17">
        <f t="shared" si="26"/>
        <v>30.4201375</v>
      </c>
      <c r="P14" s="17">
        <f t="shared" si="26"/>
        <v>21.769115</v>
      </c>
      <c r="Q14" s="17">
        <f t="shared" si="26"/>
        <v>23.9351525</v>
      </c>
      <c r="S14" s="24"/>
      <c r="T14" s="24"/>
      <c r="U14" s="24"/>
      <c r="V14" s="24"/>
      <c r="W14" s="24"/>
    </row>
    <row r="15">
      <c r="A15" s="16" t="s">
        <v>17</v>
      </c>
      <c r="B15" s="17">
        <v>108.3656</v>
      </c>
      <c r="C15" s="8">
        <v>-0.2658</v>
      </c>
      <c r="D15" s="8">
        <v>-0.04343</v>
      </c>
      <c r="E15" s="8">
        <v>0.034527</v>
      </c>
      <c r="F15" s="8">
        <v>0.024023</v>
      </c>
      <c r="G15" s="8">
        <v>0.021137</v>
      </c>
      <c r="H15" s="17">
        <f t="shared" ref="H15:L15" si="27">C15*2625.5</f>
        <v>-697.8579</v>
      </c>
      <c r="I15" s="17">
        <f t="shared" si="27"/>
        <v>-114.025465</v>
      </c>
      <c r="J15" s="17">
        <f t="shared" si="27"/>
        <v>90.6506385</v>
      </c>
      <c r="K15" s="17">
        <f t="shared" si="27"/>
        <v>63.0723865</v>
      </c>
      <c r="L15" s="17">
        <f t="shared" si="27"/>
        <v>55.4951935</v>
      </c>
      <c r="M15" s="17">
        <f t="shared" ref="M15:Q15" si="28">ABS(H15-$B15)/2</f>
        <v>403.11175</v>
      </c>
      <c r="N15" s="17">
        <f t="shared" si="28"/>
        <v>111.1955325</v>
      </c>
      <c r="O15" s="17">
        <f t="shared" si="28"/>
        <v>8.85748075</v>
      </c>
      <c r="P15" s="17">
        <f t="shared" si="28"/>
        <v>22.64660675</v>
      </c>
      <c r="Q15" s="17">
        <f t="shared" si="28"/>
        <v>26.43520325</v>
      </c>
      <c r="S15" s="24"/>
      <c r="T15" s="24"/>
      <c r="U15" s="24"/>
      <c r="V15" s="24"/>
      <c r="W15" s="24"/>
    </row>
    <row r="16">
      <c r="A16" s="16" t="s">
        <v>18</v>
      </c>
      <c r="B16" s="16">
        <v>27.6</v>
      </c>
      <c r="C16" s="8">
        <v>-0.77975</v>
      </c>
      <c r="D16" s="8">
        <v>-0.29432</v>
      </c>
      <c r="E16" s="8">
        <v>-0.11921</v>
      </c>
      <c r="F16" s="8">
        <v>-0.14735</v>
      </c>
      <c r="G16" s="8">
        <v>-0.15403</v>
      </c>
      <c r="H16" s="17">
        <f t="shared" ref="H16:L16" si="29">C16*2625.5</f>
        <v>-2047.233625</v>
      </c>
      <c r="I16" s="17">
        <f t="shared" si="29"/>
        <v>-772.73716</v>
      </c>
      <c r="J16" s="17">
        <f t="shared" si="29"/>
        <v>-312.985855</v>
      </c>
      <c r="K16" s="17">
        <f t="shared" si="29"/>
        <v>-386.867425</v>
      </c>
      <c r="L16" s="17">
        <f t="shared" si="29"/>
        <v>-404.405765</v>
      </c>
      <c r="M16" s="17">
        <f t="shared" ref="M16:Q16" si="30">ABS(H16-$B16)/2</f>
        <v>1037.416813</v>
      </c>
      <c r="N16" s="17">
        <f t="shared" si="30"/>
        <v>400.16858</v>
      </c>
      <c r="O16" s="17">
        <f t="shared" si="30"/>
        <v>170.2929275</v>
      </c>
      <c r="P16" s="17">
        <f t="shared" si="30"/>
        <v>207.2337125</v>
      </c>
      <c r="Q16" s="17">
        <f t="shared" si="30"/>
        <v>216.0028825</v>
      </c>
      <c r="S16" s="24"/>
      <c r="T16" s="24"/>
      <c r="U16" s="24"/>
      <c r="V16" s="24"/>
      <c r="W16" s="24"/>
    </row>
    <row r="17">
      <c r="A17" s="16" t="s">
        <v>19</v>
      </c>
      <c r="B17" s="16">
        <v>25.0</v>
      </c>
      <c r="C17" s="8">
        <v>-1.17158</v>
      </c>
      <c r="D17" s="8">
        <v>-0.40185</v>
      </c>
      <c r="E17" s="8">
        <v>-0.09294</v>
      </c>
      <c r="F17" s="8">
        <v>-0.16162</v>
      </c>
      <c r="G17" s="8">
        <v>-0.18035</v>
      </c>
      <c r="H17" s="17">
        <f t="shared" ref="H17:L17" si="31">C17*2625.5</f>
        <v>-3075.98329</v>
      </c>
      <c r="I17" s="17">
        <f t="shared" si="31"/>
        <v>-1055.057175</v>
      </c>
      <c r="J17" s="17">
        <f t="shared" si="31"/>
        <v>-244.01397</v>
      </c>
      <c r="K17" s="17">
        <f t="shared" si="31"/>
        <v>-424.33331</v>
      </c>
      <c r="L17" s="17">
        <f t="shared" si="31"/>
        <v>-473.508925</v>
      </c>
      <c r="M17" s="17">
        <f t="shared" ref="M17:Q17" si="32">ABS(H17-$B17)/2</f>
        <v>1550.491645</v>
      </c>
      <c r="N17" s="17">
        <f t="shared" si="32"/>
        <v>540.0285875</v>
      </c>
      <c r="O17" s="17">
        <f t="shared" si="32"/>
        <v>134.506985</v>
      </c>
      <c r="P17" s="17">
        <f t="shared" si="32"/>
        <v>224.666655</v>
      </c>
      <c r="Q17" s="17">
        <f t="shared" si="32"/>
        <v>249.2544625</v>
      </c>
      <c r="S17" s="24"/>
      <c r="T17" s="24"/>
      <c r="U17" s="24"/>
      <c r="V17" s="24"/>
      <c r="W17" s="24"/>
    </row>
    <row r="18">
      <c r="A18" s="16" t="s">
        <v>20</v>
      </c>
      <c r="B18" s="16">
        <v>18.7</v>
      </c>
      <c r="C18" s="8">
        <v>-1.10912</v>
      </c>
      <c r="D18" s="8">
        <v>-0.38024</v>
      </c>
      <c r="E18" s="8">
        <v>-0.15588</v>
      </c>
      <c r="F18" s="8">
        <v>-0.21847</v>
      </c>
      <c r="G18" s="8">
        <v>-0.21859</v>
      </c>
      <c r="H18" s="17">
        <f t="shared" ref="H18:L18" si="33">C18*2625.5</f>
        <v>-2911.99456</v>
      </c>
      <c r="I18" s="17">
        <f t="shared" si="33"/>
        <v>-998.32012</v>
      </c>
      <c r="J18" s="17">
        <f t="shared" si="33"/>
        <v>-409.26294</v>
      </c>
      <c r="K18" s="17">
        <f t="shared" si="33"/>
        <v>-573.592985</v>
      </c>
      <c r="L18" s="17">
        <f t="shared" si="33"/>
        <v>-573.908045</v>
      </c>
      <c r="M18" s="17">
        <f t="shared" ref="M18:Q18" si="34">ABS(H18-$B18)/2</f>
        <v>1465.34728</v>
      </c>
      <c r="N18" s="17">
        <f t="shared" si="34"/>
        <v>508.51006</v>
      </c>
      <c r="O18" s="17">
        <f t="shared" si="34"/>
        <v>213.98147</v>
      </c>
      <c r="P18" s="17">
        <f t="shared" si="34"/>
        <v>296.1464925</v>
      </c>
      <c r="Q18" s="17">
        <f t="shared" si="34"/>
        <v>296.3040225</v>
      </c>
      <c r="S18" s="24"/>
      <c r="T18" s="24"/>
      <c r="U18" s="24"/>
      <c r="V18" s="24"/>
      <c r="W18" s="24"/>
    </row>
    <row r="19">
      <c r="A19" s="16" t="s">
        <v>21</v>
      </c>
      <c r="B19" s="17">
        <v>33.9</v>
      </c>
      <c r="C19" s="8">
        <v>-2.01855</v>
      </c>
      <c r="D19" s="8">
        <v>-0.69753</v>
      </c>
      <c r="E19" s="8">
        <v>-0.28597</v>
      </c>
      <c r="F19" s="8">
        <v>-0.43952</v>
      </c>
      <c r="G19" s="8">
        <v>-0.44075</v>
      </c>
      <c r="H19" s="17">
        <f t="shared" ref="H19:L19" si="35">C19*2625.5</f>
        <v>-5299.703025</v>
      </c>
      <c r="I19" s="17">
        <f t="shared" si="35"/>
        <v>-1831.365015</v>
      </c>
      <c r="J19" s="17">
        <f t="shared" si="35"/>
        <v>-750.814235</v>
      </c>
      <c r="K19" s="17">
        <f t="shared" si="35"/>
        <v>-1153.95976</v>
      </c>
      <c r="L19" s="17">
        <f t="shared" si="35"/>
        <v>-1157.189125</v>
      </c>
      <c r="M19" s="17">
        <f t="shared" ref="M19:Q19" si="36">ABS(H19-$B19)/2</f>
        <v>2666.801513</v>
      </c>
      <c r="N19" s="17">
        <f t="shared" si="36"/>
        <v>932.6325075</v>
      </c>
      <c r="O19" s="17">
        <f t="shared" si="36"/>
        <v>392.3571175</v>
      </c>
      <c r="P19" s="17">
        <f t="shared" si="36"/>
        <v>593.92988</v>
      </c>
      <c r="Q19" s="17">
        <f t="shared" si="36"/>
        <v>595.5445625</v>
      </c>
      <c r="S19" s="24"/>
      <c r="T19" s="24"/>
      <c r="U19" s="24"/>
      <c r="V19" s="24"/>
      <c r="W19" s="24"/>
    </row>
    <row r="20">
      <c r="A20" s="16" t="s">
        <v>22</v>
      </c>
      <c r="B20" s="16">
        <v>42.04</v>
      </c>
      <c r="C20" s="8">
        <v>-2.16074</v>
      </c>
      <c r="D20" s="8">
        <v>-0.7857</v>
      </c>
      <c r="E20" s="8">
        <v>-0.34372</v>
      </c>
      <c r="F20" s="8">
        <v>-0.50038</v>
      </c>
      <c r="G20" s="8">
        <v>-0.50692</v>
      </c>
      <c r="H20" s="17">
        <f t="shared" ref="H20:L20" si="37">C20*2625.5</f>
        <v>-5673.02287</v>
      </c>
      <c r="I20" s="17">
        <f t="shared" si="37"/>
        <v>-2062.85535</v>
      </c>
      <c r="J20" s="17">
        <f t="shared" si="37"/>
        <v>-902.43686</v>
      </c>
      <c r="K20" s="17">
        <f t="shared" si="37"/>
        <v>-1313.74769</v>
      </c>
      <c r="L20" s="17">
        <f t="shared" si="37"/>
        <v>-1330.91846</v>
      </c>
      <c r="M20" s="17">
        <f t="shared" ref="M20:Q20" si="38">ABS(H20-$B20)/2</f>
        <v>2857.531435</v>
      </c>
      <c r="N20" s="17">
        <f t="shared" si="38"/>
        <v>1052.447675</v>
      </c>
      <c r="O20" s="17">
        <f t="shared" si="38"/>
        <v>472.23843</v>
      </c>
      <c r="P20" s="17">
        <f t="shared" si="38"/>
        <v>677.893845</v>
      </c>
      <c r="Q20" s="17">
        <f t="shared" si="38"/>
        <v>686.47923</v>
      </c>
      <c r="S20" s="24"/>
      <c r="T20" s="24"/>
      <c r="U20" s="24"/>
      <c r="V20" s="24"/>
      <c r="W20" s="24"/>
    </row>
    <row r="21">
      <c r="A21" s="16" t="s">
        <v>23</v>
      </c>
      <c r="B21" s="17">
        <v>37.8320754</v>
      </c>
      <c r="C21" s="8">
        <v>-1.93286</v>
      </c>
      <c r="D21" s="8">
        <v>-0.6708</v>
      </c>
      <c r="E21" s="8">
        <v>-0.2483</v>
      </c>
      <c r="F21" s="8">
        <v>-0.39094</v>
      </c>
      <c r="G21" s="8">
        <v>-0.39543</v>
      </c>
      <c r="H21" s="17">
        <f t="shared" ref="H21:L21" si="39">C21*2625.5</f>
        <v>-5074.72393</v>
      </c>
      <c r="I21" s="17">
        <f t="shared" si="39"/>
        <v>-1761.1854</v>
      </c>
      <c r="J21" s="17">
        <f t="shared" si="39"/>
        <v>-651.91165</v>
      </c>
      <c r="K21" s="17">
        <f t="shared" si="39"/>
        <v>-1026.41297</v>
      </c>
      <c r="L21" s="17">
        <f t="shared" si="39"/>
        <v>-1038.201465</v>
      </c>
      <c r="M21" s="17">
        <f t="shared" ref="M21:Q21" si="40">ABS(H21-$B21)/2</f>
        <v>2556.278003</v>
      </c>
      <c r="N21" s="17">
        <f t="shared" si="40"/>
        <v>899.5087377</v>
      </c>
      <c r="O21" s="17">
        <f t="shared" si="40"/>
        <v>344.8718627</v>
      </c>
      <c r="P21" s="17">
        <f t="shared" si="40"/>
        <v>532.1225227</v>
      </c>
      <c r="Q21" s="17">
        <f t="shared" si="40"/>
        <v>538.0167702</v>
      </c>
      <c r="S21" s="24"/>
      <c r="T21" s="24"/>
      <c r="U21" s="24"/>
      <c r="V21" s="24"/>
      <c r="W21" s="24"/>
    </row>
    <row r="24">
      <c r="B24" s="25" t="s">
        <v>237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</v>
      </c>
      <c r="B1" s="1" t="s">
        <v>232</v>
      </c>
      <c r="C1" s="1" t="s">
        <v>238</v>
      </c>
      <c r="D1" s="1" t="s">
        <v>233</v>
      </c>
      <c r="E1" s="1" t="s">
        <v>239</v>
      </c>
      <c r="F1" s="1" t="s">
        <v>234</v>
      </c>
      <c r="G1" s="1" t="s">
        <v>240</v>
      </c>
      <c r="H1" s="1" t="s">
        <v>235</v>
      </c>
      <c r="I1" s="1" t="s">
        <v>241</v>
      </c>
      <c r="J1" s="1" t="s">
        <v>236</v>
      </c>
      <c r="K1" s="1" t="s">
        <v>242</v>
      </c>
      <c r="M1" s="26"/>
      <c r="N1" s="26"/>
      <c r="O1" s="26"/>
      <c r="P1" s="26"/>
      <c r="Q1" s="26"/>
      <c r="R1" s="26"/>
    </row>
    <row r="2">
      <c r="A2" s="16" t="s">
        <v>2</v>
      </c>
      <c r="B2" s="9">
        <v>90.1918825</v>
      </c>
      <c r="C2" s="9">
        <f>65</f>
        <v>65</v>
      </c>
      <c r="D2" s="9">
        <v>0.49167500000000075</v>
      </c>
      <c r="E2" s="9">
        <f>68</f>
        <v>68</v>
      </c>
      <c r="F2" s="9">
        <v>2.947729999999993</v>
      </c>
      <c r="G2" s="9">
        <f>79</f>
        <v>79</v>
      </c>
      <c r="H2" s="9">
        <v>3.9848025000000007</v>
      </c>
      <c r="I2" s="9">
        <f>84</f>
        <v>84</v>
      </c>
      <c r="J2" s="9">
        <v>8.054327499999996</v>
      </c>
      <c r="K2" s="9">
        <f>85</f>
        <v>85</v>
      </c>
      <c r="M2" s="26"/>
      <c r="N2" s="27"/>
      <c r="O2" s="27"/>
      <c r="P2" s="27"/>
      <c r="Q2" s="27"/>
      <c r="R2" s="27"/>
    </row>
    <row r="3">
      <c r="A3" s="16" t="s">
        <v>4</v>
      </c>
      <c r="B3" s="9">
        <v>180.80569749999998</v>
      </c>
      <c r="C3" s="9">
        <f>34</f>
        <v>34</v>
      </c>
      <c r="D3" s="9">
        <v>17.591490000000007</v>
      </c>
      <c r="E3" s="9">
        <f>39</f>
        <v>39</v>
      </c>
      <c r="F3" s="9">
        <v>2.2966724999999997</v>
      </c>
      <c r="G3" s="9">
        <f>67</f>
        <v>67</v>
      </c>
      <c r="H3" s="9">
        <v>2.1798050000000018</v>
      </c>
      <c r="I3" s="9">
        <f>72</f>
        <v>72</v>
      </c>
      <c r="J3" s="9">
        <v>3.9376099999999994</v>
      </c>
      <c r="K3" s="9">
        <f>80</f>
        <v>80</v>
      </c>
      <c r="M3" s="26"/>
      <c r="N3" s="27"/>
      <c r="O3" s="27"/>
      <c r="P3" s="27"/>
      <c r="Q3" s="27"/>
      <c r="R3" s="27"/>
    </row>
    <row r="4">
      <c r="A4" s="16" t="s">
        <v>6</v>
      </c>
      <c r="B4" s="9">
        <v>271.52917</v>
      </c>
      <c r="C4" s="9">
        <f>45</f>
        <v>45</v>
      </c>
      <c r="D4" s="9">
        <v>32.739945</v>
      </c>
      <c r="E4" s="9">
        <f>58</f>
        <v>58</v>
      </c>
      <c r="F4" s="9">
        <v>4.082692500000007</v>
      </c>
      <c r="G4" s="9">
        <f>116</f>
        <v>116</v>
      </c>
      <c r="H4" s="9">
        <v>6.931279999999994</v>
      </c>
      <c r="I4" s="9">
        <f>130</f>
        <v>130</v>
      </c>
      <c r="J4" s="9">
        <v>0.5776500000000055</v>
      </c>
      <c r="K4" s="9">
        <f>135</f>
        <v>135</v>
      </c>
      <c r="M4" s="26"/>
      <c r="N4" s="27"/>
      <c r="O4" s="27"/>
      <c r="P4" s="27"/>
      <c r="Q4" s="27"/>
      <c r="R4" s="27"/>
    </row>
    <row r="5">
      <c r="A5" s="16" t="s">
        <v>7</v>
      </c>
      <c r="B5" s="9">
        <v>362.1115375</v>
      </c>
      <c r="C5" s="9">
        <f>48</f>
        <v>48</v>
      </c>
      <c r="D5" s="9">
        <v>47.57663749999999</v>
      </c>
      <c r="E5" s="9">
        <f>70</f>
        <v>70</v>
      </c>
      <c r="F5" s="9">
        <v>6.193602499999997</v>
      </c>
      <c r="G5" s="9">
        <f>169</f>
        <v>169</v>
      </c>
      <c r="H5" s="9">
        <v>11.528522499999994</v>
      </c>
      <c r="I5" s="9">
        <f>197</f>
        <v>197</v>
      </c>
      <c r="J5" s="9">
        <v>2.6412049999999994</v>
      </c>
      <c r="K5" s="9">
        <f>213</f>
        <v>213</v>
      </c>
      <c r="M5" s="26"/>
      <c r="N5" s="27"/>
      <c r="O5" s="27"/>
      <c r="P5" s="27"/>
      <c r="Q5" s="27"/>
      <c r="R5" s="27"/>
    </row>
    <row r="6">
      <c r="A6" s="16" t="s">
        <v>8</v>
      </c>
      <c r="B6" s="9">
        <v>452.39814750000005</v>
      </c>
      <c r="C6" s="9">
        <f>87</f>
        <v>87</v>
      </c>
      <c r="D6" s="9">
        <v>62.15695500000001</v>
      </c>
      <c r="E6" s="9">
        <f>122</f>
        <v>122</v>
      </c>
      <c r="F6" s="9">
        <v>8.600269999999995</v>
      </c>
      <c r="G6" s="9">
        <f>255</f>
        <v>255</v>
      </c>
      <c r="H6" s="9">
        <v>16.000665000000012</v>
      </c>
      <c r="I6" s="9">
        <f>332</f>
        <v>332</v>
      </c>
      <c r="J6" s="9">
        <v>5.498665000000003</v>
      </c>
      <c r="K6" s="9">
        <f>353</f>
        <v>353</v>
      </c>
      <c r="M6" s="26"/>
      <c r="N6" s="27"/>
      <c r="O6" s="27"/>
      <c r="P6" s="27"/>
      <c r="Q6" s="27"/>
      <c r="R6" s="27"/>
    </row>
    <row r="7">
      <c r="A7" s="16" t="s">
        <v>9</v>
      </c>
      <c r="B7" s="9">
        <v>543.1917525</v>
      </c>
      <c r="C7" s="9">
        <f>99</f>
        <v>99</v>
      </c>
      <c r="D7" s="9">
        <v>77.24426749999999</v>
      </c>
      <c r="E7" s="9">
        <f>145</f>
        <v>145</v>
      </c>
      <c r="F7" s="9">
        <v>10.44743249999999</v>
      </c>
      <c r="G7" s="9">
        <f>283</f>
        <v>283</v>
      </c>
      <c r="H7" s="9">
        <v>20.966674999999995</v>
      </c>
      <c r="I7" s="9">
        <f>405</f>
        <v>405</v>
      </c>
      <c r="J7" s="9">
        <v>8.902502500000011</v>
      </c>
      <c r="K7" s="9">
        <f>457</f>
        <v>457</v>
      </c>
      <c r="M7" s="26"/>
      <c r="N7" s="27"/>
      <c r="O7" s="27"/>
      <c r="P7" s="27"/>
      <c r="Q7" s="27"/>
      <c r="R7" s="27"/>
    </row>
    <row r="8">
      <c r="A8" s="16" t="s">
        <v>10</v>
      </c>
      <c r="B8" s="9">
        <v>633.8627150000001</v>
      </c>
      <c r="C8" s="9">
        <f>114</f>
        <v>114</v>
      </c>
      <c r="D8" s="9">
        <v>92.19581000000001</v>
      </c>
      <c r="E8" s="9">
        <f>181</f>
        <v>181</v>
      </c>
      <c r="F8" s="9">
        <v>12.482875000000007</v>
      </c>
      <c r="G8" s="9">
        <f>402</f>
        <v>402</v>
      </c>
      <c r="H8" s="9">
        <v>25.8362975</v>
      </c>
      <c r="I8" s="9">
        <f>343</f>
        <v>343</v>
      </c>
      <c r="J8" s="9">
        <v>12.223079999999996</v>
      </c>
      <c r="K8" s="9">
        <f>487</f>
        <v>487</v>
      </c>
      <c r="M8" s="26"/>
      <c r="N8" s="27"/>
      <c r="O8" s="27"/>
      <c r="P8" s="27"/>
      <c r="Q8" s="27"/>
      <c r="R8" s="27"/>
    </row>
    <row r="9">
      <c r="A9" s="16" t="s">
        <v>11</v>
      </c>
      <c r="B9" s="9">
        <v>724.30068</v>
      </c>
      <c r="C9" s="9">
        <f>183</f>
        <v>183</v>
      </c>
      <c r="D9" s="9">
        <v>106.9274825</v>
      </c>
      <c r="E9" s="9">
        <f>239</f>
        <v>239</v>
      </c>
      <c r="F9" s="9">
        <v>14.685677499999997</v>
      </c>
      <c r="G9" s="9">
        <f>595</f>
        <v>595</v>
      </c>
      <c r="H9" s="9">
        <v>30.459795000000014</v>
      </c>
      <c r="I9" s="9">
        <f>770</f>
        <v>770</v>
      </c>
      <c r="J9" s="9">
        <v>15.284405000000007</v>
      </c>
      <c r="K9" s="9">
        <f>767</f>
        <v>767</v>
      </c>
      <c r="M9" s="26"/>
      <c r="N9" s="27"/>
      <c r="O9" s="27"/>
      <c r="P9" s="27"/>
      <c r="Q9" s="27"/>
      <c r="R9" s="27"/>
    </row>
    <row r="10">
      <c r="A10" s="16" t="s">
        <v>12</v>
      </c>
      <c r="B10" s="9">
        <v>815.4474675</v>
      </c>
      <c r="C10" s="9">
        <f>182</f>
        <v>182</v>
      </c>
      <c r="D10" s="9">
        <v>122.36797750000002</v>
      </c>
      <c r="E10" s="9">
        <f>281</f>
        <v>281</v>
      </c>
      <c r="F10" s="9">
        <v>16.219039999999993</v>
      </c>
      <c r="G10" s="9">
        <f>737</f>
        <v>737</v>
      </c>
      <c r="H10" s="9">
        <v>35.80524249999999</v>
      </c>
      <c r="I10" s="9">
        <f>889</f>
        <v>889</v>
      </c>
      <c r="J10" s="9">
        <v>19.08080749999999</v>
      </c>
      <c r="K10" s="9">
        <f>823</f>
        <v>823</v>
      </c>
      <c r="M10" s="26"/>
      <c r="N10" s="27"/>
      <c r="O10" s="27"/>
      <c r="P10" s="27"/>
      <c r="Q10" s="27"/>
      <c r="R10" s="27"/>
    </row>
    <row r="11">
      <c r="A11" s="16" t="s">
        <v>13</v>
      </c>
      <c r="B11" s="9">
        <v>1352.72466</v>
      </c>
      <c r="C11" s="9">
        <f>(24*60)+35</f>
        <v>1475</v>
      </c>
      <c r="D11" s="9">
        <v>629.0712225</v>
      </c>
      <c r="E11" s="9">
        <f>(37*60)+54</f>
        <v>2274</v>
      </c>
      <c r="F11" s="9">
        <v>351.30645000000004</v>
      </c>
      <c r="G11" s="9">
        <f>(130*60)+26</f>
        <v>7826</v>
      </c>
      <c r="H11" s="9">
        <v>402.8056325</v>
      </c>
      <c r="I11" s="9">
        <f>(199*60)+54</f>
        <v>11994</v>
      </c>
      <c r="J11" s="9">
        <v>418.99184</v>
      </c>
      <c r="K11" s="9">
        <f>(158*60)+18</f>
        <v>9498</v>
      </c>
      <c r="M11" s="26"/>
      <c r="N11" s="27"/>
      <c r="O11" s="27"/>
      <c r="P11" s="27"/>
      <c r="Q11" s="27"/>
      <c r="R11" s="27"/>
    </row>
    <row r="12">
      <c r="A12" s="16" t="s">
        <v>14</v>
      </c>
      <c r="B12" s="9">
        <v>871.01123</v>
      </c>
      <c r="C12" s="9">
        <f>(17*60)+10</f>
        <v>1030</v>
      </c>
      <c r="D12" s="9">
        <v>114.76221</v>
      </c>
      <c r="E12" s="9">
        <f>(28*60)+38</f>
        <v>1718</v>
      </c>
      <c r="F12" s="9">
        <v>186.23036100000002</v>
      </c>
      <c r="G12" s="9">
        <f>(95*60)+27</f>
        <v>5727</v>
      </c>
      <c r="H12" s="9">
        <v>146.0418325</v>
      </c>
      <c r="I12" s="9">
        <f>(122*60)+4</f>
        <v>7324</v>
      </c>
      <c r="J12" s="9">
        <v>131.91664250000002</v>
      </c>
      <c r="K12" s="9">
        <f>(113*60)+51</f>
        <v>6831</v>
      </c>
      <c r="M12" s="26"/>
      <c r="N12" s="27"/>
      <c r="O12" s="27"/>
      <c r="P12" s="27"/>
      <c r="Q12" s="27"/>
      <c r="R12" s="27"/>
    </row>
    <row r="13">
      <c r="A13" s="16" t="s">
        <v>15</v>
      </c>
      <c r="B13" s="9">
        <v>1106.6775625</v>
      </c>
      <c r="C13" s="9">
        <f>271</f>
        <v>271</v>
      </c>
      <c r="D13" s="9">
        <v>298.2336025</v>
      </c>
      <c r="E13" s="9">
        <f>240</f>
        <v>240</v>
      </c>
      <c r="F13" s="9">
        <v>8.503562500000015</v>
      </c>
      <c r="G13" s="9">
        <f>(11*60)+29</f>
        <v>689</v>
      </c>
      <c r="H13" s="9">
        <v>40.94773000000001</v>
      </c>
      <c r="I13" s="9">
        <f>(18*60)+50</f>
        <v>1130</v>
      </c>
      <c r="J13" s="9">
        <v>41.11838749999998</v>
      </c>
      <c r="K13" s="9">
        <f>(10*60)+24</f>
        <v>624</v>
      </c>
      <c r="M13" s="26"/>
      <c r="N13" s="27"/>
      <c r="O13" s="27"/>
      <c r="P13" s="27"/>
      <c r="Q13" s="27"/>
      <c r="R13" s="27"/>
    </row>
    <row r="14">
      <c r="A14" s="16" t="s">
        <v>16</v>
      </c>
      <c r="B14" s="9">
        <v>227.180795</v>
      </c>
      <c r="C14" s="9">
        <f>57</f>
        <v>57</v>
      </c>
      <c r="D14" s="9">
        <v>11.180910000000011</v>
      </c>
      <c r="E14" s="9">
        <f>50</f>
        <v>50</v>
      </c>
      <c r="F14" s="9">
        <v>30.42013750000001</v>
      </c>
      <c r="G14" s="9">
        <f>87</f>
        <v>87</v>
      </c>
      <c r="H14" s="9">
        <v>21.769115000000014</v>
      </c>
      <c r="I14" s="9">
        <f>102</f>
        <v>102</v>
      </c>
      <c r="J14" s="9">
        <v>23.9351525</v>
      </c>
      <c r="K14" s="9">
        <f>130</f>
        <v>130</v>
      </c>
      <c r="M14" s="26"/>
      <c r="N14" s="27"/>
      <c r="O14" s="27"/>
      <c r="P14" s="27"/>
      <c r="Q14" s="27"/>
      <c r="R14" s="27"/>
    </row>
    <row r="15">
      <c r="A15" s="16" t="s">
        <v>17</v>
      </c>
      <c r="B15" s="9">
        <v>403.11175</v>
      </c>
      <c r="C15" s="9">
        <f>41</f>
        <v>41</v>
      </c>
      <c r="D15" s="9">
        <v>111.19553250000001</v>
      </c>
      <c r="E15" s="9">
        <f>47</f>
        <v>47</v>
      </c>
      <c r="F15" s="9">
        <v>8.85748075</v>
      </c>
      <c r="G15" s="9">
        <f>116</f>
        <v>116</v>
      </c>
      <c r="H15" s="9">
        <v>22.64660675</v>
      </c>
      <c r="I15" s="9">
        <f>168</f>
        <v>168</v>
      </c>
      <c r="J15" s="9">
        <v>26.43520325</v>
      </c>
      <c r="K15" s="9">
        <f>167</f>
        <v>167</v>
      </c>
      <c r="M15" s="26"/>
      <c r="N15" s="27"/>
      <c r="O15" s="27"/>
      <c r="P15" s="27"/>
      <c r="Q15" s="27"/>
      <c r="R15" s="27"/>
    </row>
    <row r="16">
      <c r="A16" s="16" t="s">
        <v>18</v>
      </c>
      <c r="B16" s="9">
        <v>1037.4168125</v>
      </c>
      <c r="C16" s="9">
        <f>176</f>
        <v>176</v>
      </c>
      <c r="D16" s="9">
        <v>400.16858</v>
      </c>
      <c r="E16" s="9">
        <f>257</f>
        <v>257</v>
      </c>
      <c r="F16" s="9">
        <v>170.29292750000002</v>
      </c>
      <c r="G16" s="9">
        <f>(12*30)+30</f>
        <v>390</v>
      </c>
      <c r="H16" s="9">
        <v>207.23371250000002</v>
      </c>
      <c r="I16" s="9">
        <f>(16*60)+42</f>
        <v>1002</v>
      </c>
      <c r="J16" s="9">
        <v>216.0028825</v>
      </c>
      <c r="K16" s="9">
        <f>(15*60)+34</f>
        <v>934</v>
      </c>
      <c r="M16" s="26"/>
      <c r="N16" s="27"/>
      <c r="O16" s="27"/>
      <c r="P16" s="27"/>
      <c r="Q16" s="27"/>
      <c r="R16" s="27"/>
    </row>
    <row r="17">
      <c r="A17" s="16" t="s">
        <v>19</v>
      </c>
      <c r="B17" s="9">
        <v>1550.491645</v>
      </c>
      <c r="C17" s="9">
        <f>(71*60)+34</f>
        <v>4294</v>
      </c>
      <c r="D17" s="9">
        <v>540.0285875</v>
      </c>
      <c r="E17" s="9">
        <f>(101*60)+46</f>
        <v>6106</v>
      </c>
      <c r="F17" s="9">
        <v>134.506985</v>
      </c>
      <c r="G17" s="9">
        <f>(336*60)+53</f>
        <v>20213</v>
      </c>
      <c r="H17" s="9">
        <v>224.66665500000002</v>
      </c>
      <c r="I17" s="9">
        <f>(552*60)+55</f>
        <v>33175</v>
      </c>
      <c r="J17" s="9">
        <v>249.25446250000002</v>
      </c>
      <c r="K17" s="9">
        <f>(436*60)+17</f>
        <v>26177</v>
      </c>
      <c r="M17" s="26"/>
      <c r="N17" s="27"/>
      <c r="O17" s="27"/>
      <c r="P17" s="27"/>
      <c r="Q17" s="27"/>
      <c r="R17" s="27"/>
    </row>
    <row r="18">
      <c r="A18" s="16" t="s">
        <v>20</v>
      </c>
      <c r="B18" s="9">
        <v>1465.34728</v>
      </c>
      <c r="C18" s="9">
        <f>(60*60)+26</f>
        <v>3626</v>
      </c>
      <c r="D18" s="9">
        <v>508.51006000000007</v>
      </c>
      <c r="E18" s="9">
        <f>(96*60)+28</f>
        <v>5788</v>
      </c>
      <c r="F18" s="9">
        <v>213.98146999999997</v>
      </c>
      <c r="G18" s="9">
        <f>(299*60)+54</f>
        <v>17994</v>
      </c>
      <c r="H18" s="9">
        <v>296.1464925</v>
      </c>
      <c r="I18" s="9">
        <f>(498*60)+18</f>
        <v>29898</v>
      </c>
      <c r="J18" s="9">
        <v>296.30402250000003</v>
      </c>
      <c r="K18" s="9">
        <f>(319*60)+39</f>
        <v>19179</v>
      </c>
      <c r="M18" s="26"/>
      <c r="N18" s="27"/>
      <c r="O18" s="27"/>
      <c r="P18" s="27"/>
      <c r="Q18" s="27"/>
      <c r="R18" s="27"/>
    </row>
    <row r="19">
      <c r="A19" s="16" t="s">
        <v>21</v>
      </c>
      <c r="B19" s="9">
        <v>2666.8015124999997</v>
      </c>
      <c r="C19" s="9">
        <f>(44*60)+47</f>
        <v>2687</v>
      </c>
      <c r="D19" s="9">
        <v>932.6325075</v>
      </c>
      <c r="E19" s="9">
        <f>(66*60)+48</f>
        <v>4008</v>
      </c>
      <c r="F19" s="9">
        <v>392.3571175</v>
      </c>
      <c r="G19" s="9">
        <f>(202*60)+4</f>
        <v>12124</v>
      </c>
      <c r="H19" s="9">
        <v>593.92988</v>
      </c>
      <c r="I19" s="9">
        <f>(280*60)+37</f>
        <v>16837</v>
      </c>
      <c r="J19" s="9">
        <v>595.5445625</v>
      </c>
      <c r="K19" s="9">
        <f>(303*60)+53</f>
        <v>18233</v>
      </c>
      <c r="M19" s="26"/>
      <c r="N19" s="27"/>
      <c r="O19" s="27"/>
      <c r="P19" s="27"/>
      <c r="Q19" s="27"/>
      <c r="R19" s="27"/>
    </row>
    <row r="20">
      <c r="A20" s="16" t="s">
        <v>22</v>
      </c>
      <c r="B20" s="9">
        <v>2857.5314350000003</v>
      </c>
      <c r="C20" s="9">
        <f>(56*60)+31</f>
        <v>3391</v>
      </c>
      <c r="D20" s="9">
        <v>1052.447675</v>
      </c>
      <c r="E20" s="9">
        <f>(82*60)+22</f>
        <v>4942</v>
      </c>
      <c r="F20" s="9">
        <v>472.23843</v>
      </c>
      <c r="G20" s="9">
        <f>(296*60)+29</f>
        <v>17789</v>
      </c>
      <c r="H20" s="9">
        <v>677.893845</v>
      </c>
      <c r="I20" s="9">
        <f>(427*60)+40</f>
        <v>25660</v>
      </c>
      <c r="J20" s="9">
        <v>686.47923</v>
      </c>
      <c r="K20" s="9">
        <f>(315*60)+17</f>
        <v>18917</v>
      </c>
      <c r="M20" s="26"/>
      <c r="N20" s="27"/>
      <c r="O20" s="27"/>
      <c r="P20" s="27"/>
      <c r="Q20" s="27"/>
      <c r="R20" s="27"/>
    </row>
    <row r="21">
      <c r="A21" s="16" t="s">
        <v>23</v>
      </c>
      <c r="B21" s="9">
        <v>2556.2780027</v>
      </c>
      <c r="C21" s="9">
        <f>(48*60)+25</f>
        <v>2905</v>
      </c>
      <c r="D21" s="9">
        <v>899.5087376999999</v>
      </c>
      <c r="E21" s="9">
        <f>(77*60)+41</f>
        <v>4661</v>
      </c>
      <c r="F21" s="9">
        <v>344.8718627</v>
      </c>
      <c r="G21" s="9">
        <f>(235*60)+38</f>
        <v>14138</v>
      </c>
      <c r="H21" s="9">
        <v>532.1225227</v>
      </c>
      <c r="I21" s="9">
        <f>(437*60)+31</f>
        <v>26251</v>
      </c>
      <c r="J21" s="9">
        <v>538.0167702</v>
      </c>
      <c r="K21" s="9">
        <f>(283*60)+50</f>
        <v>17030</v>
      </c>
      <c r="M21" s="26"/>
      <c r="N21" s="27"/>
      <c r="O21" s="27"/>
      <c r="P21" s="27"/>
      <c r="Q21" s="27"/>
      <c r="R21" s="2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137</v>
      </c>
      <c r="B1" s="7" t="s">
        <v>238</v>
      </c>
      <c r="C1" s="7" t="s">
        <v>243</v>
      </c>
      <c r="D1" s="7" t="s">
        <v>244</v>
      </c>
      <c r="E1" s="7" t="s">
        <v>245</v>
      </c>
      <c r="F1" s="7" t="s">
        <v>246</v>
      </c>
    </row>
    <row r="2">
      <c r="A2" s="7" t="s">
        <v>2</v>
      </c>
      <c r="B2" s="8">
        <v>116.134</v>
      </c>
      <c r="C2" s="8">
        <v>121.98</v>
      </c>
      <c r="D2" s="8">
        <v>146.161</v>
      </c>
      <c r="E2" s="8">
        <v>149.936</v>
      </c>
      <c r="F2" s="8">
        <v>152.693</v>
      </c>
    </row>
    <row r="3">
      <c r="A3" s="7" t="s">
        <v>4</v>
      </c>
      <c r="B3" s="8">
        <v>34.636</v>
      </c>
      <c r="C3" s="8">
        <v>39.123</v>
      </c>
      <c r="D3" s="8">
        <v>67.817</v>
      </c>
      <c r="E3" s="8">
        <v>72.626</v>
      </c>
      <c r="F3" s="8">
        <v>70.547</v>
      </c>
    </row>
    <row r="4">
      <c r="A4" s="7" t="s">
        <v>6</v>
      </c>
      <c r="B4" s="8">
        <v>45.671</v>
      </c>
      <c r="C4" s="8">
        <v>58.461</v>
      </c>
      <c r="D4" s="8">
        <v>116.538</v>
      </c>
      <c r="E4" s="8">
        <v>130.405</v>
      </c>
      <c r="F4" s="8">
        <v>135.036</v>
      </c>
    </row>
    <row r="5">
      <c r="A5" s="7" t="s">
        <v>7</v>
      </c>
      <c r="B5" s="8">
        <v>48.518</v>
      </c>
      <c r="C5" s="8">
        <v>70.523</v>
      </c>
      <c r="D5" s="8">
        <v>169.132</v>
      </c>
      <c r="E5" s="8">
        <v>197.519</v>
      </c>
      <c r="F5" s="8">
        <v>213.483</v>
      </c>
    </row>
    <row r="6">
      <c r="A6" s="7" t="s">
        <v>8</v>
      </c>
      <c r="B6" s="8">
        <v>87.727</v>
      </c>
      <c r="C6" s="8">
        <v>122.031</v>
      </c>
      <c r="D6" s="8">
        <v>255.583</v>
      </c>
      <c r="E6" s="8">
        <v>332.94</v>
      </c>
      <c r="F6" s="8">
        <v>353.102</v>
      </c>
    </row>
    <row r="7">
      <c r="A7" s="7" t="s">
        <v>9</v>
      </c>
      <c r="B7" s="8">
        <v>99.416</v>
      </c>
      <c r="C7" s="8">
        <v>145.79</v>
      </c>
      <c r="D7" s="8">
        <v>283.862</v>
      </c>
      <c r="E7" s="8">
        <v>405.75</v>
      </c>
      <c r="F7" s="8">
        <v>457.54</v>
      </c>
    </row>
    <row r="8">
      <c r="A8" s="7" t="s">
        <v>10</v>
      </c>
      <c r="B8" s="8">
        <v>114.054</v>
      </c>
      <c r="C8" s="8">
        <v>181.253</v>
      </c>
      <c r="D8" s="8">
        <v>402.259</v>
      </c>
      <c r="E8" s="8">
        <v>343.119</v>
      </c>
      <c r="F8" s="8">
        <v>487.6</v>
      </c>
    </row>
    <row r="9">
      <c r="A9" s="7" t="s">
        <v>11</v>
      </c>
      <c r="B9" s="8">
        <v>163.676</v>
      </c>
      <c r="C9" s="8">
        <v>239.667</v>
      </c>
      <c r="D9" s="8">
        <v>595.361</v>
      </c>
      <c r="E9" s="8">
        <v>770.229</v>
      </c>
      <c r="F9" s="8">
        <v>767.601</v>
      </c>
    </row>
    <row r="10">
      <c r="A10" s="7" t="s">
        <v>12</v>
      </c>
      <c r="B10" s="8">
        <v>182.655</v>
      </c>
      <c r="C10" s="8">
        <v>281.773</v>
      </c>
      <c r="D10" s="8">
        <v>737.505</v>
      </c>
      <c r="E10" s="8">
        <v>949.183</v>
      </c>
      <c r="F10" s="8">
        <v>823.65</v>
      </c>
    </row>
    <row r="11">
      <c r="A11" s="7" t="s">
        <v>13</v>
      </c>
      <c r="B11" s="8">
        <v>1475.508</v>
      </c>
      <c r="C11" s="8">
        <v>2274.076</v>
      </c>
      <c r="D11" s="8">
        <v>7826.661</v>
      </c>
      <c r="E11" s="8">
        <v>11994.91</v>
      </c>
      <c r="F11" s="8">
        <v>9498.075</v>
      </c>
    </row>
    <row r="12">
      <c r="A12" s="7" t="s">
        <v>14</v>
      </c>
      <c r="B12" s="8">
        <v>1030.63</v>
      </c>
      <c r="C12" s="8">
        <v>1716.27</v>
      </c>
      <c r="D12" s="8">
        <v>5727.876</v>
      </c>
      <c r="E12" s="8">
        <v>7324.949</v>
      </c>
      <c r="F12" s="8">
        <v>6831.877</v>
      </c>
    </row>
    <row r="13">
      <c r="A13" s="7" t="s">
        <v>15</v>
      </c>
      <c r="B13" s="8">
        <v>675.211</v>
      </c>
      <c r="C13" s="8">
        <v>240.139</v>
      </c>
      <c r="D13" s="8">
        <v>689.093</v>
      </c>
      <c r="E13" s="8">
        <v>5863.862</v>
      </c>
      <c r="F13" s="8">
        <v>2223.909</v>
      </c>
    </row>
    <row r="14">
      <c r="A14" s="7" t="s">
        <v>16</v>
      </c>
      <c r="B14" s="8">
        <v>57.086</v>
      </c>
      <c r="C14" s="8">
        <v>50.433</v>
      </c>
      <c r="D14" s="8">
        <v>87.591</v>
      </c>
      <c r="E14" s="8">
        <v>102.966</v>
      </c>
      <c r="F14" s="8">
        <v>130.126</v>
      </c>
    </row>
    <row r="15">
      <c r="A15" s="7" t="s">
        <v>17</v>
      </c>
      <c r="B15" s="8">
        <v>41.64</v>
      </c>
      <c r="C15" s="8">
        <v>47.55</v>
      </c>
      <c r="D15" s="8">
        <v>116.544</v>
      </c>
      <c r="E15" s="8">
        <v>168.106</v>
      </c>
      <c r="F15" s="8">
        <v>167.182</v>
      </c>
    </row>
    <row r="16">
      <c r="A16" s="7" t="s">
        <v>18</v>
      </c>
      <c r="B16" s="8">
        <v>176.43</v>
      </c>
      <c r="C16" s="8">
        <v>257.567</v>
      </c>
      <c r="D16" s="8">
        <v>750.769</v>
      </c>
      <c r="E16" s="8">
        <v>1002.92</v>
      </c>
      <c r="F16" s="8">
        <v>934.037</v>
      </c>
    </row>
    <row r="17">
      <c r="A17" s="7" t="s">
        <v>19</v>
      </c>
      <c r="B17" s="8">
        <v>4294.201</v>
      </c>
      <c r="C17" s="8">
        <v>6106.613</v>
      </c>
      <c r="D17" s="8">
        <v>20213.92</v>
      </c>
      <c r="E17" s="8">
        <v>33175.89</v>
      </c>
      <c r="F17" s="8">
        <v>26177.63</v>
      </c>
    </row>
    <row r="18">
      <c r="A18" s="7" t="s">
        <v>20</v>
      </c>
      <c r="B18" s="8">
        <v>3626.889</v>
      </c>
      <c r="C18" s="8">
        <v>5788.292</v>
      </c>
      <c r="D18" s="8">
        <v>17994.38</v>
      </c>
      <c r="E18" s="8">
        <v>29898.29</v>
      </c>
      <c r="F18" s="8">
        <v>19179.09</v>
      </c>
    </row>
    <row r="19">
      <c r="A19" s="7" t="s">
        <v>21</v>
      </c>
      <c r="B19" s="8">
        <v>2687.865</v>
      </c>
      <c r="C19" s="8">
        <v>4008.047</v>
      </c>
      <c r="D19" s="8">
        <v>12124.35</v>
      </c>
      <c r="E19" s="8">
        <v>16837.96</v>
      </c>
      <c r="F19" s="8">
        <v>18233.23</v>
      </c>
    </row>
    <row r="20">
      <c r="A20" s="7" t="s">
        <v>22</v>
      </c>
      <c r="B20" s="8">
        <v>3391.745</v>
      </c>
      <c r="C20" s="8">
        <v>4942.042</v>
      </c>
      <c r="D20" s="8">
        <v>17789.03</v>
      </c>
      <c r="E20" s="8">
        <v>25660.98</v>
      </c>
      <c r="F20" s="8">
        <v>18917.53</v>
      </c>
    </row>
    <row r="21">
      <c r="A21" s="7" t="s">
        <v>23</v>
      </c>
      <c r="B21" s="8">
        <v>2905.239</v>
      </c>
      <c r="C21" s="8">
        <v>4661.076</v>
      </c>
      <c r="D21" s="8">
        <v>14138.37</v>
      </c>
      <c r="E21" s="8">
        <v>26251.21</v>
      </c>
      <c r="F21" s="8">
        <v>17030.28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</v>
      </c>
      <c r="B1" s="28" t="s">
        <v>247</v>
      </c>
      <c r="C1" s="28" t="s">
        <v>248</v>
      </c>
      <c r="D1" s="28" t="s">
        <v>249</v>
      </c>
      <c r="E1" s="28" t="s">
        <v>250</v>
      </c>
      <c r="F1" s="28" t="s">
        <v>251</v>
      </c>
    </row>
    <row r="2">
      <c r="A2" s="28" t="s">
        <v>2</v>
      </c>
      <c r="B2" s="28">
        <v>2.0</v>
      </c>
      <c r="C2" s="28">
        <v>2.0</v>
      </c>
      <c r="D2" s="28">
        <v>2.0</v>
      </c>
      <c r="E2" s="28">
        <v>2.0</v>
      </c>
      <c r="F2" s="28">
        <v>2.0</v>
      </c>
    </row>
    <row r="3">
      <c r="A3" s="28" t="s">
        <v>4</v>
      </c>
      <c r="B3" s="28">
        <v>1.0</v>
      </c>
      <c r="C3" s="28">
        <v>1.0</v>
      </c>
      <c r="D3" s="28">
        <v>1.0</v>
      </c>
      <c r="E3" s="28">
        <v>1.0</v>
      </c>
      <c r="F3" s="28">
        <v>1.0</v>
      </c>
    </row>
    <row r="4">
      <c r="A4" s="28" t="s">
        <v>6</v>
      </c>
      <c r="B4" s="28">
        <v>1.0</v>
      </c>
      <c r="C4" s="28">
        <v>1.0</v>
      </c>
      <c r="D4" s="28">
        <v>1.0</v>
      </c>
      <c r="E4" s="28">
        <v>1.0</v>
      </c>
      <c r="F4" s="28">
        <v>1.0</v>
      </c>
    </row>
    <row r="5">
      <c r="A5" s="28" t="s">
        <v>7</v>
      </c>
      <c r="B5" s="28">
        <v>1.0</v>
      </c>
      <c r="C5" s="28">
        <v>1.0</v>
      </c>
      <c r="D5" s="28">
        <v>1.0</v>
      </c>
      <c r="E5" s="28">
        <v>1.0</v>
      </c>
      <c r="F5" s="28">
        <v>1.0</v>
      </c>
    </row>
    <row r="6">
      <c r="A6" s="28" t="s">
        <v>8</v>
      </c>
      <c r="B6" s="28">
        <v>1.0</v>
      </c>
      <c r="C6" s="28">
        <v>1.0</v>
      </c>
      <c r="D6" s="28">
        <v>1.0</v>
      </c>
      <c r="E6" s="28">
        <v>1.0</v>
      </c>
      <c r="F6" s="28">
        <v>1.0</v>
      </c>
    </row>
    <row r="7">
      <c r="A7" s="28" t="s">
        <v>9</v>
      </c>
      <c r="B7" s="28">
        <v>1.0</v>
      </c>
      <c r="C7" s="28">
        <v>1.0</v>
      </c>
      <c r="D7" s="28">
        <v>1.0</v>
      </c>
      <c r="E7" s="28">
        <v>1.0</v>
      </c>
      <c r="F7" s="28">
        <v>1.0</v>
      </c>
    </row>
    <row r="8">
      <c r="A8" s="28" t="s">
        <v>10</v>
      </c>
      <c r="B8" s="28">
        <v>1.0</v>
      </c>
      <c r="C8" s="28">
        <v>1.0</v>
      </c>
      <c r="D8" s="28">
        <v>1.0</v>
      </c>
      <c r="E8" s="28">
        <v>1.0</v>
      </c>
      <c r="F8" s="28">
        <v>1.0</v>
      </c>
    </row>
    <row r="9">
      <c r="A9" s="28" t="s">
        <v>11</v>
      </c>
      <c r="B9" s="28">
        <v>1.0</v>
      </c>
      <c r="C9" s="28">
        <v>1.0</v>
      </c>
      <c r="D9" s="28">
        <v>1.0</v>
      </c>
      <c r="E9" s="28">
        <v>1.0</v>
      </c>
      <c r="F9" s="28">
        <v>1.0</v>
      </c>
    </row>
    <row r="10">
      <c r="A10" s="28" t="s">
        <v>12</v>
      </c>
      <c r="B10" s="28">
        <v>1.0</v>
      </c>
      <c r="C10" s="28">
        <v>1.0</v>
      </c>
      <c r="D10" s="28">
        <v>1.0</v>
      </c>
      <c r="E10" s="28">
        <v>1.0</v>
      </c>
      <c r="F10" s="28">
        <v>1.0</v>
      </c>
    </row>
    <row r="11">
      <c r="A11" s="28" t="s">
        <v>13</v>
      </c>
      <c r="B11" s="28">
        <v>1.0</v>
      </c>
      <c r="C11" s="28">
        <v>1.0</v>
      </c>
      <c r="D11" s="28">
        <v>1.0</v>
      </c>
      <c r="E11" s="28">
        <v>1.0</v>
      </c>
      <c r="F11" s="28">
        <v>1.0</v>
      </c>
    </row>
    <row r="12">
      <c r="A12" s="28" t="s">
        <v>14</v>
      </c>
      <c r="B12" s="28">
        <v>1.0</v>
      </c>
      <c r="C12" s="28">
        <v>1.0</v>
      </c>
      <c r="D12" s="28">
        <v>1.0</v>
      </c>
      <c r="E12" s="28">
        <v>1.0</v>
      </c>
      <c r="F12" s="28">
        <v>1.0</v>
      </c>
    </row>
    <row r="13">
      <c r="A13" s="28" t="s">
        <v>15</v>
      </c>
      <c r="B13" s="28">
        <v>3.0</v>
      </c>
      <c r="C13" s="28">
        <v>1.0</v>
      </c>
      <c r="D13" s="28">
        <v>1.0</v>
      </c>
      <c r="E13" s="28">
        <v>4.0</v>
      </c>
      <c r="F13" s="28">
        <v>3.0</v>
      </c>
    </row>
    <row r="14">
      <c r="A14" s="28" t="s">
        <v>16</v>
      </c>
      <c r="B14" s="28">
        <v>1.0</v>
      </c>
      <c r="C14" s="28">
        <v>1.0</v>
      </c>
      <c r="D14" s="28">
        <v>1.0</v>
      </c>
      <c r="E14" s="28">
        <v>1.0</v>
      </c>
      <c r="F14" s="28">
        <v>1.0</v>
      </c>
    </row>
    <row r="15">
      <c r="A15" s="28" t="s">
        <v>17</v>
      </c>
      <c r="B15" s="28">
        <v>1.0</v>
      </c>
      <c r="C15" s="28">
        <v>1.0</v>
      </c>
      <c r="D15" s="28">
        <v>1.0</v>
      </c>
      <c r="E15" s="28">
        <v>1.0</v>
      </c>
      <c r="F15" s="28">
        <v>1.0</v>
      </c>
    </row>
    <row r="16">
      <c r="A16" s="28" t="s">
        <v>18</v>
      </c>
      <c r="B16" s="28">
        <v>1.0</v>
      </c>
      <c r="C16" s="28">
        <v>1.0</v>
      </c>
      <c r="D16" s="28">
        <v>1.0</v>
      </c>
      <c r="E16" s="28">
        <v>1.0</v>
      </c>
      <c r="F16" s="28">
        <v>1.0</v>
      </c>
    </row>
    <row r="17">
      <c r="A17" s="28" t="s">
        <v>19</v>
      </c>
      <c r="B17" s="28">
        <v>1.0</v>
      </c>
      <c r="C17" s="28">
        <v>1.0</v>
      </c>
      <c r="D17" s="28">
        <v>1.0</v>
      </c>
      <c r="E17" s="28">
        <v>1.0</v>
      </c>
      <c r="F17" s="28">
        <v>1.0</v>
      </c>
    </row>
    <row r="18">
      <c r="A18" s="28" t="s">
        <v>20</v>
      </c>
      <c r="B18" s="28">
        <v>1.0</v>
      </c>
      <c r="C18" s="28">
        <v>1.0</v>
      </c>
      <c r="D18" s="28">
        <v>1.0</v>
      </c>
      <c r="E18" s="28">
        <v>1.0</v>
      </c>
      <c r="F18" s="28">
        <v>1.0</v>
      </c>
    </row>
    <row r="19">
      <c r="A19" s="28" t="s">
        <v>21</v>
      </c>
      <c r="B19" s="28">
        <v>1.0</v>
      </c>
      <c r="C19" s="28">
        <v>1.0</v>
      </c>
      <c r="D19" s="28">
        <v>1.0</v>
      </c>
      <c r="E19" s="28">
        <v>1.0</v>
      </c>
      <c r="F19" s="28">
        <v>1.0</v>
      </c>
    </row>
    <row r="20">
      <c r="A20" s="28" t="s">
        <v>22</v>
      </c>
      <c r="B20" s="28">
        <v>1.0</v>
      </c>
      <c r="C20" s="28">
        <v>1.0</v>
      </c>
      <c r="D20" s="28">
        <v>1.0</v>
      </c>
      <c r="E20" s="28">
        <v>1.0</v>
      </c>
      <c r="F20" s="28">
        <v>1.0</v>
      </c>
    </row>
    <row r="21">
      <c r="A21" s="28" t="s">
        <v>23</v>
      </c>
      <c r="B21" s="28">
        <v>1.0</v>
      </c>
      <c r="C21" s="28">
        <v>1.0</v>
      </c>
      <c r="D21" s="28">
        <v>1.0</v>
      </c>
      <c r="E21" s="28">
        <v>1.0</v>
      </c>
      <c r="F21" s="28">
        <v>1.0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2.63"/>
    <col customWidth="1" min="3" max="3" width="11.63"/>
    <col customWidth="1" min="4" max="4" width="12.25"/>
  </cols>
  <sheetData>
    <row r="1" ht="24.0" customHeight="1">
      <c r="A1" s="29" t="s">
        <v>252</v>
      </c>
      <c r="B1" s="29" t="s">
        <v>253</v>
      </c>
      <c r="C1" s="29" t="s">
        <v>254</v>
      </c>
      <c r="D1" s="29" t="s">
        <v>255</v>
      </c>
      <c r="F1" s="1" t="s">
        <v>256</v>
      </c>
      <c r="G1" s="1" t="s">
        <v>257</v>
      </c>
      <c r="H1" s="1" t="s">
        <v>258</v>
      </c>
      <c r="I1" s="1" t="s">
        <v>257</v>
      </c>
    </row>
    <row r="2" ht="24.0" customHeight="1">
      <c r="A2" s="29">
        <v>1.0</v>
      </c>
      <c r="B2" s="29" t="s">
        <v>2</v>
      </c>
      <c r="C2" s="29" t="s">
        <v>259</v>
      </c>
      <c r="D2" s="29" t="s">
        <v>260</v>
      </c>
      <c r="F2" s="1">
        <v>-17.9</v>
      </c>
      <c r="G2" s="1" t="s">
        <v>261</v>
      </c>
      <c r="H2" s="9">
        <f t="shared" ref="H2:H10" si="1">F2*4.184</f>
        <v>-74.8936</v>
      </c>
      <c r="I2" s="1" t="s">
        <v>262</v>
      </c>
    </row>
    <row r="3" ht="24.0" customHeight="1">
      <c r="A3" s="29">
        <v>2.0</v>
      </c>
      <c r="B3" s="29" t="s">
        <v>4</v>
      </c>
      <c r="C3" s="29" t="s">
        <v>259</v>
      </c>
      <c r="D3" s="29" t="s">
        <v>263</v>
      </c>
      <c r="F3" s="1">
        <v>-20.08</v>
      </c>
      <c r="G3" s="1" t="s">
        <v>261</v>
      </c>
      <c r="H3" s="9">
        <f t="shared" si="1"/>
        <v>-84.01472</v>
      </c>
      <c r="I3" s="1" t="s">
        <v>262</v>
      </c>
    </row>
    <row r="4" ht="24.0" customHeight="1">
      <c r="A4" s="29">
        <v>3.0</v>
      </c>
      <c r="B4" s="29" t="s">
        <v>6</v>
      </c>
      <c r="C4" s="29" t="s">
        <v>259</v>
      </c>
      <c r="D4" s="29" t="s">
        <v>264</v>
      </c>
      <c r="F4" s="1">
        <v>-25.0</v>
      </c>
      <c r="G4" s="1" t="s">
        <v>261</v>
      </c>
      <c r="H4" s="9">
        <f t="shared" si="1"/>
        <v>-104.6</v>
      </c>
      <c r="I4" s="1" t="s">
        <v>262</v>
      </c>
    </row>
    <row r="5" ht="24.0" customHeight="1">
      <c r="A5" s="29">
        <v>4.0</v>
      </c>
      <c r="B5" s="29" t="s">
        <v>7</v>
      </c>
      <c r="C5" s="29" t="s">
        <v>259</v>
      </c>
      <c r="D5" s="29" t="s">
        <v>265</v>
      </c>
      <c r="F5" s="1">
        <v>-30.0</v>
      </c>
      <c r="G5" s="1" t="s">
        <v>261</v>
      </c>
      <c r="H5" s="9">
        <f t="shared" si="1"/>
        <v>-125.52</v>
      </c>
      <c r="I5" s="1" t="s">
        <v>262</v>
      </c>
    </row>
    <row r="6" ht="24.0" customHeight="1">
      <c r="A6" s="29">
        <v>5.0</v>
      </c>
      <c r="B6" s="29" t="s">
        <v>8</v>
      </c>
      <c r="C6" s="29" t="s">
        <v>259</v>
      </c>
      <c r="D6" s="29" t="s">
        <v>266</v>
      </c>
      <c r="F6" s="1">
        <v>-35.11</v>
      </c>
      <c r="G6" s="1" t="s">
        <v>261</v>
      </c>
      <c r="H6" s="9">
        <f t="shared" si="1"/>
        <v>-146.90024</v>
      </c>
      <c r="I6" s="1" t="s">
        <v>262</v>
      </c>
    </row>
    <row r="7" ht="24.0" customHeight="1">
      <c r="A7" s="29">
        <v>6.0</v>
      </c>
      <c r="B7" s="29" t="s">
        <v>9</v>
      </c>
      <c r="C7" s="29" t="s">
        <v>259</v>
      </c>
      <c r="D7" s="29" t="s">
        <v>267</v>
      </c>
      <c r="F7" s="1">
        <v>-39.94</v>
      </c>
      <c r="G7" s="1" t="s">
        <v>261</v>
      </c>
      <c r="H7" s="9">
        <f t="shared" si="1"/>
        <v>-167.10896</v>
      </c>
      <c r="I7" s="1" t="s">
        <v>262</v>
      </c>
    </row>
    <row r="8" ht="24.0" customHeight="1">
      <c r="A8" s="29">
        <v>7.0</v>
      </c>
      <c r="B8" s="29" t="s">
        <v>10</v>
      </c>
      <c r="C8" s="29" t="s">
        <v>259</v>
      </c>
      <c r="D8" s="29" t="s">
        <v>268</v>
      </c>
      <c r="F8" s="1">
        <v>-44.86</v>
      </c>
      <c r="G8" s="1" t="s">
        <v>261</v>
      </c>
      <c r="H8" s="9">
        <f t="shared" si="1"/>
        <v>-187.69424</v>
      </c>
      <c r="I8" s="1" t="s">
        <v>262</v>
      </c>
    </row>
    <row r="9" ht="24.0" customHeight="1">
      <c r="A9" s="29">
        <v>8.0</v>
      </c>
      <c r="B9" s="29" t="s">
        <v>11</v>
      </c>
      <c r="C9" s="29" t="s">
        <v>259</v>
      </c>
      <c r="D9" s="29" t="s">
        <v>269</v>
      </c>
      <c r="F9" s="1">
        <v>-49.86</v>
      </c>
      <c r="G9" s="1" t="s">
        <v>261</v>
      </c>
      <c r="H9" s="9">
        <f t="shared" si="1"/>
        <v>-208.61424</v>
      </c>
      <c r="I9" s="1" t="s">
        <v>262</v>
      </c>
    </row>
    <row r="10" ht="24.0" customHeight="1">
      <c r="A10" s="29">
        <v>9.0</v>
      </c>
      <c r="B10" s="29" t="s">
        <v>12</v>
      </c>
      <c r="C10" s="29" t="s">
        <v>259</v>
      </c>
      <c r="D10" s="29" t="s">
        <v>270</v>
      </c>
      <c r="F10" s="1">
        <v>-54.54</v>
      </c>
      <c r="G10" s="1" t="s">
        <v>261</v>
      </c>
      <c r="H10" s="9">
        <f t="shared" si="1"/>
        <v>-228.19536</v>
      </c>
      <c r="I10" s="1" t="s">
        <v>262</v>
      </c>
    </row>
    <row r="11" ht="24.0" customHeight="1">
      <c r="A11" s="29">
        <v>10.0</v>
      </c>
      <c r="B11" s="29" t="s">
        <v>15</v>
      </c>
      <c r="C11" s="29" t="s">
        <v>259</v>
      </c>
      <c r="D11" s="29" t="s">
        <v>271</v>
      </c>
      <c r="F11" s="1">
        <v>322.15</v>
      </c>
      <c r="G11" s="1" t="s">
        <v>262</v>
      </c>
      <c r="H11" s="1">
        <v>322.15</v>
      </c>
      <c r="I11" s="1" t="s">
        <v>262</v>
      </c>
    </row>
    <row r="12" ht="24.0" customHeight="1">
      <c r="A12" s="29">
        <v>10.0</v>
      </c>
      <c r="B12" s="29" t="s">
        <v>15</v>
      </c>
      <c r="C12" s="29" t="s">
        <v>259</v>
      </c>
      <c r="D12" s="29" t="s">
        <v>272</v>
      </c>
      <c r="F12" s="1">
        <v>-340.6</v>
      </c>
      <c r="G12" s="1" t="s">
        <v>262</v>
      </c>
      <c r="H12" s="1">
        <v>-340.6</v>
      </c>
      <c r="I12" s="1" t="s">
        <v>262</v>
      </c>
    </row>
    <row r="13" ht="24.0" customHeight="1">
      <c r="A13" s="29">
        <v>11.0</v>
      </c>
      <c r="B13" s="29" t="s">
        <v>16</v>
      </c>
      <c r="C13" s="29" t="s">
        <v>259</v>
      </c>
      <c r="D13" s="29" t="s">
        <v>273</v>
      </c>
      <c r="F13" s="1">
        <v>-276.0</v>
      </c>
      <c r="G13" s="1" t="s">
        <v>262</v>
      </c>
      <c r="H13" s="1">
        <v>-276.0</v>
      </c>
      <c r="I13" s="1" t="s">
        <v>262</v>
      </c>
    </row>
    <row r="14" ht="24.0" customHeight="1">
      <c r="A14" s="29">
        <v>12.0</v>
      </c>
      <c r="B14" s="29" t="s">
        <v>14</v>
      </c>
      <c r="C14" s="30"/>
      <c r="D14" s="29" t="s">
        <v>274</v>
      </c>
      <c r="F14" s="1">
        <v>22.53</v>
      </c>
      <c r="G14" s="1" t="s">
        <v>262</v>
      </c>
      <c r="H14" s="1">
        <v>22.53</v>
      </c>
      <c r="I14" s="1" t="s">
        <v>262</v>
      </c>
    </row>
    <row r="15" ht="24.0" customHeight="1">
      <c r="A15" s="29">
        <v>13.0</v>
      </c>
      <c r="B15" s="29" t="s">
        <v>13</v>
      </c>
      <c r="C15" s="30"/>
      <c r="D15" s="29" t="s">
        <v>275</v>
      </c>
      <c r="F15" s="1">
        <v>31.01</v>
      </c>
      <c r="G15" s="1" t="s">
        <v>262</v>
      </c>
      <c r="H15" s="1">
        <v>31.01</v>
      </c>
      <c r="I15" s="1" t="s">
        <v>262</v>
      </c>
    </row>
    <row r="16" ht="24.0" customHeight="1">
      <c r="A16" s="29">
        <v>14.0</v>
      </c>
      <c r="B16" s="29" t="s">
        <v>276</v>
      </c>
      <c r="C16" s="30"/>
      <c r="D16" s="29" t="s">
        <v>277</v>
      </c>
      <c r="F16" s="1">
        <v>25.9</v>
      </c>
      <c r="G16" s="1" t="s">
        <v>261</v>
      </c>
      <c r="H16" s="9">
        <f>F16*4.184</f>
        <v>108.3656</v>
      </c>
      <c r="I16" s="1" t="s">
        <v>262</v>
      </c>
    </row>
    <row r="17" ht="24.0" customHeight="1">
      <c r="A17" s="29">
        <v>15.0</v>
      </c>
      <c r="B17" s="29" t="s">
        <v>18</v>
      </c>
      <c r="C17" s="30"/>
      <c r="D17" s="29" t="s">
        <v>278</v>
      </c>
      <c r="F17" s="1">
        <v>27.6</v>
      </c>
      <c r="G17" s="1" t="s">
        <v>262</v>
      </c>
      <c r="H17" s="1">
        <v>27.6</v>
      </c>
      <c r="I17" s="1" t="s">
        <v>262</v>
      </c>
    </row>
    <row r="18" ht="24.0" customHeight="1">
      <c r="A18" s="29">
        <v>16.0</v>
      </c>
      <c r="B18" s="29" t="s">
        <v>19</v>
      </c>
      <c r="C18" s="30"/>
      <c r="D18" s="29" t="s">
        <v>279</v>
      </c>
      <c r="F18" s="1">
        <v>25.0</v>
      </c>
      <c r="G18" s="1" t="s">
        <v>262</v>
      </c>
      <c r="H18" s="1">
        <v>25.0</v>
      </c>
      <c r="I18" s="1" t="s">
        <v>262</v>
      </c>
    </row>
    <row r="19" ht="24.0" customHeight="1">
      <c r="A19" s="29">
        <v>17.0</v>
      </c>
      <c r="B19" s="29" t="s">
        <v>20</v>
      </c>
      <c r="C19" s="30"/>
      <c r="D19" s="29" t="s">
        <v>280</v>
      </c>
      <c r="F19" s="1">
        <v>18.7</v>
      </c>
      <c r="G19" s="1" t="s">
        <v>262</v>
      </c>
      <c r="H19" s="1">
        <v>18.7</v>
      </c>
      <c r="I19" s="1" t="s">
        <v>262</v>
      </c>
    </row>
    <row r="20" ht="24.0" customHeight="1">
      <c r="A20" s="29">
        <v>18.0</v>
      </c>
      <c r="B20" s="29" t="s">
        <v>21</v>
      </c>
      <c r="C20" s="30"/>
      <c r="D20" s="29" t="s">
        <v>281</v>
      </c>
      <c r="F20" s="25">
        <v>33900.0</v>
      </c>
      <c r="G20" s="1" t="s">
        <v>282</v>
      </c>
      <c r="H20" s="9">
        <f>F20/1000</f>
        <v>33.9</v>
      </c>
      <c r="I20" s="1" t="s">
        <v>262</v>
      </c>
    </row>
    <row r="21" ht="24.0" customHeight="1">
      <c r="A21" s="29">
        <v>19.0</v>
      </c>
      <c r="B21" s="29" t="s">
        <v>23</v>
      </c>
      <c r="C21" s="30"/>
      <c r="D21" s="29" t="s">
        <v>283</v>
      </c>
      <c r="F21" s="1">
        <v>105.55</v>
      </c>
      <c r="G21" s="1" t="s">
        <v>284</v>
      </c>
      <c r="H21" s="9">
        <f>(F21*358.428)/1000</f>
        <v>37.8320754</v>
      </c>
      <c r="I21" s="1" t="s">
        <v>262</v>
      </c>
    </row>
    <row r="22" ht="24.0" customHeight="1">
      <c r="A22" s="29">
        <v>20.0</v>
      </c>
      <c r="B22" s="29" t="s">
        <v>22</v>
      </c>
      <c r="C22" s="30"/>
      <c r="D22" s="29" t="s">
        <v>285</v>
      </c>
      <c r="F22" s="1">
        <v>42.04</v>
      </c>
      <c r="G22" s="1" t="s">
        <v>262</v>
      </c>
      <c r="H22" s="1">
        <v>42.04</v>
      </c>
      <c r="I22" s="1" t="s">
        <v>262</v>
      </c>
    </row>
    <row r="23" ht="24.0" customHeight="1"/>
    <row r="24" ht="24.0" customHeight="1"/>
    <row r="25" ht="24.0" customHeight="1"/>
    <row r="26" ht="24.0" customHeight="1"/>
    <row r="27" ht="24.0" customHeight="1"/>
    <row r="28" ht="24.0" customHeight="1"/>
    <row r="29" ht="24.0" customHeight="1"/>
    <row r="30" ht="24.0" customHeight="1"/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drawing r:id="rId1"/>
</worksheet>
</file>